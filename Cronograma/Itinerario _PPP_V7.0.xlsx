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lusm\Desktop\PPP\37009-PPP\Cronograma\"/>
    </mc:Choice>
  </mc:AlternateContent>
  <xr:revisionPtr revIDLastSave="0" documentId="13_ncr:1_{221F8378-9217-489B-B656-F30D4E5C6978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ActividadesDetalle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4" i="5" l="1"/>
  <c r="G192" i="5"/>
  <c r="E191" i="5"/>
  <c r="G189" i="5"/>
  <c r="E188" i="5"/>
  <c r="G186" i="5" s="1"/>
  <c r="E185" i="5"/>
  <c r="G183" i="5" s="1"/>
  <c r="E182" i="5"/>
  <c r="G180" i="5" s="1"/>
  <c r="E179" i="5"/>
  <c r="G177" i="5" s="1"/>
  <c r="E176" i="5"/>
  <c r="G174" i="5" s="1"/>
  <c r="E173" i="5"/>
  <c r="G171" i="5" s="1"/>
  <c r="E170" i="5"/>
  <c r="G168" i="5" s="1"/>
  <c r="E167" i="5"/>
  <c r="G165" i="5"/>
  <c r="E164" i="5"/>
  <c r="G162" i="5"/>
  <c r="E161" i="5"/>
  <c r="G159" i="5" s="1"/>
  <c r="E158" i="5"/>
  <c r="G156" i="5" s="1"/>
  <c r="E155" i="5"/>
  <c r="G153" i="5"/>
  <c r="E152" i="5"/>
  <c r="G150" i="5" s="1"/>
  <c r="E149" i="5"/>
  <c r="G147" i="5" s="1"/>
  <c r="E146" i="5"/>
  <c r="G144" i="5" s="1"/>
  <c r="E143" i="5"/>
  <c r="G141" i="5" s="1"/>
  <c r="E140" i="5"/>
  <c r="G138" i="5" s="1"/>
  <c r="E137" i="5"/>
  <c r="G135" i="5" s="1"/>
  <c r="E134" i="5"/>
  <c r="G132" i="5" s="1"/>
  <c r="E131" i="5"/>
  <c r="G129" i="5" s="1"/>
  <c r="E128" i="5"/>
  <c r="G126" i="5" s="1"/>
  <c r="E125" i="5"/>
  <c r="G123" i="5" s="1"/>
  <c r="E122" i="5"/>
  <c r="G120" i="5" s="1"/>
  <c r="E119" i="5"/>
  <c r="G117" i="5" s="1"/>
  <c r="E116" i="5"/>
  <c r="G114" i="5" s="1"/>
  <c r="E113" i="5"/>
  <c r="G111" i="5" s="1"/>
  <c r="E110" i="5"/>
  <c r="G108" i="5" s="1"/>
  <c r="E107" i="5"/>
  <c r="G105" i="5" s="1"/>
  <c r="E104" i="5"/>
  <c r="G102" i="5" s="1"/>
  <c r="E101" i="5"/>
  <c r="G99" i="5" s="1"/>
  <c r="E98" i="5"/>
  <c r="G96" i="5" s="1"/>
  <c r="E95" i="5"/>
  <c r="G93" i="5" s="1"/>
  <c r="E92" i="5"/>
  <c r="G90" i="5"/>
  <c r="E89" i="5"/>
  <c r="G87" i="5"/>
  <c r="E86" i="5"/>
  <c r="G84" i="5" s="1"/>
  <c r="E83" i="5"/>
  <c r="G81" i="5" s="1"/>
  <c r="E80" i="5"/>
  <c r="G78" i="5"/>
  <c r="E77" i="5"/>
  <c r="G75" i="5" s="1"/>
  <c r="E74" i="5"/>
  <c r="G72" i="5"/>
  <c r="E71" i="5"/>
  <c r="G69" i="5"/>
  <c r="E68" i="5"/>
  <c r="G66" i="5"/>
  <c r="E65" i="5"/>
  <c r="G63" i="5"/>
  <c r="E62" i="5"/>
  <c r="G60" i="5"/>
  <c r="E59" i="5"/>
  <c r="G57" i="5" s="1"/>
  <c r="E56" i="5"/>
  <c r="G54" i="5"/>
  <c r="E53" i="5"/>
  <c r="G51" i="5"/>
  <c r="E50" i="5"/>
  <c r="G48" i="5" s="1"/>
  <c r="E47" i="5"/>
  <c r="G45" i="5" s="1"/>
  <c r="E44" i="5"/>
  <c r="G42" i="5" s="1"/>
  <c r="E41" i="5"/>
  <c r="G39" i="5" s="1"/>
  <c r="E38" i="5"/>
  <c r="G36" i="5" s="1"/>
  <c r="E35" i="5"/>
  <c r="G33" i="5" s="1"/>
  <c r="E32" i="5"/>
  <c r="G30" i="5"/>
  <c r="E29" i="5"/>
  <c r="E26" i="5"/>
  <c r="G24" i="5"/>
  <c r="E23" i="5"/>
  <c r="G21" i="5"/>
  <c r="E20" i="5"/>
  <c r="G18" i="5" s="1"/>
  <c r="E17" i="5"/>
  <c r="G15" i="5"/>
  <c r="E14" i="5"/>
  <c r="G12" i="5"/>
  <c r="E11" i="5"/>
  <c r="G9" i="5"/>
  <c r="G27" i="5" l="1"/>
  <c r="G200" i="5" s="1"/>
  <c r="E200" i="5"/>
</calcChain>
</file>

<file path=xl/sharedStrings.xml><?xml version="1.0" encoding="utf-8"?>
<sst xmlns="http://schemas.openxmlformats.org/spreadsheetml/2006/main" count="330" uniqueCount="269">
  <si>
    <t>FECHA INICIO</t>
  </si>
  <si>
    <t>FECHA FIN</t>
  </si>
  <si>
    <t>HORARIO</t>
  </si>
  <si>
    <t>FUNCIÓN</t>
  </si>
  <si>
    <t>FECHA</t>
  </si>
  <si>
    <t>ACTIVIDAD</t>
  </si>
  <si>
    <t>TAREA</t>
  </si>
  <si>
    <t>HORAS DE TRABAJO</t>
  </si>
  <si>
    <t>ENCARGADO</t>
  </si>
  <si>
    <t>Cumplido</t>
  </si>
  <si>
    <t>ACTIVIDADES REALIZADAS EN LAS PASANTÍAS O PPP</t>
  </si>
  <si>
    <t>10:00 a 16:00</t>
  </si>
  <si>
    <t>DEPARTAMENTO</t>
  </si>
  <si>
    <t>Analista y desarrollador de software</t>
  </si>
  <si>
    <t>NÚMERO DE HORAS</t>
  </si>
  <si>
    <t>Conocimiento y análisis inicial del proyecto</t>
  </si>
  <si>
    <t>Revisar la propuesta de desarrollo de Diagnóstico Foliar de Aguacate y sus objetivos principales.</t>
  </si>
  <si>
    <t>David Alexander Pilaguano Chisaguano</t>
  </si>
  <si>
    <t>Analizar las necesidades de la beneficiaria y el uso previsto de la aplicación en campo.</t>
  </si>
  <si>
    <t>Identificar preliminarmente los componentes web, móvil, inteligencia artificial y almacenamiento.</t>
  </si>
  <si>
    <t>Investigación de enfermedades y plagas foliares</t>
  </si>
  <si>
    <t>Revisar la información disponible sobre antracnosis y mancha de Cercospora en hojas de aguacate.</t>
  </si>
  <si>
    <t>Analizar los síntomas asociados con ácaros, tizón foliar y agallas foliares.</t>
  </si>
  <si>
    <t>Organizar las categorías investigadas y definir la hoja sana como estado de referencia.</t>
  </si>
  <si>
    <t>Revisión de antecedentes del proyecto</t>
  </si>
  <si>
    <t>Buscar estudios sobre detección de enfermedades foliares mediante imágenes e inteligencia artificial.</t>
  </si>
  <si>
    <t>Registrar los métodos, conjuntos de datos y resultados relevantes en una matriz bibliográfica.</t>
  </si>
  <si>
    <t>Identificar las limitaciones de captura y reconocimiento que deben considerarse en la aplicación.</t>
  </si>
  <si>
    <t>Definición inicial del entorno tecnológico</t>
  </si>
  <si>
    <t>Revisar Flutter y las herramientas necesarias para desarrollar la aplicación Android y la plataforma web.</t>
  </si>
  <si>
    <t>Analizar las alternativas de detección con YOLO y ejecución del modelo dentro del teléfono.</t>
  </si>
  <si>
    <t>Organizar las herramientas de entrenamiento, almacenamiento local, servidor y control de versiones.</t>
  </si>
  <si>
    <t>Planificación inicial del desarrollo</t>
  </si>
  <si>
    <t>Definir las etapas generales de análisis, preparación de datos, desarrollo, integración y pruebas.</t>
  </si>
  <si>
    <t>Organizar preliminarmente los módulos de usuarios, diagnóstico, reportes, comentarios e historial.</t>
  </si>
  <si>
    <t>Preparar la documentación necesaria para iniciar el levantamiento formal de requisitos.</t>
  </si>
  <si>
    <t>Recolección de requisitos de la aplicación</t>
  </si>
  <si>
    <t>Realizar una reunión con la beneficiaria para recopilar las necesidades generales del proyecto.</t>
  </si>
  <si>
    <t>Identificar los perfiles de administrador, productor agrícola y técnico agrónomo.</t>
  </si>
  <si>
    <t>Registrar las funciones y restricciones de acceso de cada perfil en web y móvil.</t>
  </si>
  <si>
    <t>Recolección de requisitos del diagnóstico</t>
  </si>
  <si>
    <t>Identificar las funcionalidades de captura con cámara y selección de imágenes desde galería.</t>
  </si>
  <si>
    <t>Definir los resultados con recuadros, categorías y confianza para múltiples detecciones.</t>
  </si>
  <si>
    <t>Identificar las necesidades de validación profesional, comentarios y recomendaciones generales.</t>
  </si>
  <si>
    <t>Identificación de requisitos complementarios</t>
  </si>
  <si>
    <t>Definir las necesidades de historial y asociación de diagnósticos con finca, lote y árbol.</t>
  </si>
  <si>
    <t>Identificar los requisitos de operación sin Internet y sincronización al recuperar la conexión.</t>
  </si>
  <si>
    <t>Clasificar los requisitos de rendimiento, seguridad, compatibilidad y facilidad de uso.</t>
  </si>
  <si>
    <t>Consolidación de requisitos y casos de uso</t>
  </si>
  <si>
    <t>Corroborar los requisitos recopilados, eliminar duplicados y establecer su numeración inicial.</t>
  </si>
  <si>
    <t>Identificar los actores y los casos de uso principales de nivel 0 del sistema.</t>
  </si>
  <si>
    <t>Elaborar el diagrama de casos de uso general para los accesos web y móvil.</t>
  </si>
  <si>
    <t>Especificación inicial de casos de uso</t>
  </si>
  <si>
    <t>Determinar los casos de uso que requieren descomposición en nivel 1.</t>
  </si>
  <si>
    <t>Elaborar las tablas de los casos de captura, diagnóstico, consulta y administración.</t>
  </si>
  <si>
    <t>Definir precondiciones, secuencia normal, postcondiciones y excepciones de los casos documentados.</t>
  </si>
  <si>
    <t>Elaboración del SRS IEEE 830</t>
  </si>
  <si>
    <t>Redactar propósito, alcance, personal involucrado, definiciones, referencias y estructura del documento.</t>
  </si>
  <si>
    <t>Elaborar perspectiva del producto, funcionalidad y características de los usuarios.</t>
  </si>
  <si>
    <t>Documentar restricciones, suposiciones, dependencias y evolución previsible del sistema.</t>
  </si>
  <si>
    <t>Elaboración de requisitos específicos del SRS</t>
  </si>
  <si>
    <t>Documentar las interfaces de usuario, hardware, software y comunicación.</t>
  </si>
  <si>
    <t>Incorporar las tablas de requisitos funcionales y no funcionales de la aplicación.</t>
  </si>
  <si>
    <t>Revisar la correspondencia entre requisitos, roles y casos de uso del proyecto.</t>
  </si>
  <si>
    <t>Diseño de arquitectura del sistema</t>
  </si>
  <si>
    <t>Definir la arquitectura de aplicación Android offline, plataforma web, API y base de datos central.</t>
  </si>
  <si>
    <t>Definir la comunicación entre almacenamiento local, detector y servicios de sincronización.</t>
  </si>
  <si>
    <t>Elaborar el diagrama de arquitectura y revisar la separación de responsabilidades de los componentes.</t>
  </si>
  <si>
    <t>Revisión y consolidación de requisitos</t>
  </si>
  <si>
    <t>Completar las tablas pendientes de casos de uso y la matriz de trazabilidad de requisitos.</t>
  </si>
  <si>
    <t>Corregir inconsistencias de redacción, permisos y alcance en el documento SRS IEEE 830.</t>
  </si>
  <si>
    <t>Organizar la versión de referencia de requisitos y las decisiones técnicas pendientes del proyecto.</t>
  </si>
  <si>
    <t>Diseño de datos y prototipos iniciales</t>
  </si>
  <si>
    <t>Definir las entidades de usuarios, unidades productivas, diagnósticos, detecciones y comentarios.</t>
  </si>
  <si>
    <t>Preparar los prototipos iniciales de captura, resultado y consulta de reportes por rol.</t>
  </si>
  <si>
    <t>Organizar los criterios de anotación y calidad necesarios para construir el dataset del detector.</t>
  </si>
  <si>
    <t>Recolección y organización de imágenes</t>
  </si>
  <si>
    <t>Reunir las imágenes disponibles de las categorías foliares definidas y registrar su procedencia.</t>
  </si>
  <si>
    <t>Organizar las muestras por categoría e identificar archivos inválidos o duplicados.</t>
  </si>
  <si>
    <t>Revisar la disponibilidad de imágenes sanas y afectadas para la primera versión del modelo.</t>
  </si>
  <si>
    <t>Preparación de anotaciones del dataset</t>
  </si>
  <si>
    <t>Definir las etiquetas y el formato de recuadros requerido por el modelo de detección.</t>
  </si>
  <si>
    <t>Anotar las regiones afectadas de las imágenes seleccionadas y registrar detecciones múltiples.</t>
  </si>
  <si>
    <t>Revisar la consistencia de las etiquetas y los recuadros con los criterios de investigación.</t>
  </si>
  <si>
    <t>Control de calidad de imágenes y etiquetas</t>
  </si>
  <si>
    <t>Validar formato, dimensiones y lectura de las imágenes incorporadas al dataset.</t>
  </si>
  <si>
    <t>Comprobar que las anotaciones correspondan con las categorías y regiones visibles de cada fotografía.</t>
  </si>
  <si>
    <t>Corregir etiquetas inconsistentes y registrar las muestras pendientes de revisión técnica.</t>
  </si>
  <si>
    <t>Separación y transformación del dataset</t>
  </si>
  <si>
    <t>Implementar la separación de entrenamiento, validación y prueba por captura original.</t>
  </si>
  <si>
    <t>Configurar las transformaciones de tamaño y aumento de datos permitidas para entrenamiento.</t>
  </si>
  <si>
    <t>Verificar la ausencia de duplicados entre particiones y revisar la distribución por categoría.</t>
  </si>
  <si>
    <t>Consolidación de la primera versión del dataset</t>
  </si>
  <si>
    <t>Generar los archivos de configuración, manifiestos y resúmenes del conjunto de datos.</t>
  </si>
  <si>
    <t>Comprobar la carga de imágenes y anotaciones mediante un recorrido de prueba.</t>
  </si>
  <si>
    <t>Documentar la versión del dataset, sus limitaciones y la configuración inicial del entrenamiento.</t>
  </si>
  <si>
    <t>Configuración del modelo de detección</t>
  </si>
  <si>
    <t>Seleccionar la versión de YOLO compatible con los requisitos de detección y despliegue móvil.</t>
  </si>
  <si>
    <t>Configurar las categorías, el tamaño de entrada y los parámetros iniciales del entrenamiento.</t>
  </si>
  <si>
    <t>Comprobar la compatibilidad entre las anotaciones, el modelo y el entorno de ejecución.</t>
  </si>
  <si>
    <t>Entrenamiento inicial del detector</t>
  </si>
  <si>
    <t>Ejecutar un entrenamiento inicial con las imágenes y anotaciones de la versión preparada.</t>
  </si>
  <si>
    <t>Registrar las pérdidas, métricas y configuraciones obtenidas durante el entrenamiento.</t>
  </si>
  <si>
    <t>Guardar los pesos y revisar errores de carga, memoria o correspondencia de categorías.</t>
  </si>
  <si>
    <t>Evaluación inicial del detector</t>
  </si>
  <si>
    <t>Evaluar precision, recall y mAP del modelo con el conjunto reservado.</t>
  </si>
  <si>
    <t>Revisar ejemplos de falsos positivos, omisiones y recuadros incorrectos por categoría.</t>
  </si>
  <si>
    <t>Identificar ajustes necesarios en los datos, umbrales y parámetros del modelo.</t>
  </si>
  <si>
    <t>Ajuste y comparación de versiones del modelo</t>
  </si>
  <si>
    <t>Aplicar los ajustes de datos y parámetros definidos durante la evaluación inicial.</t>
  </si>
  <si>
    <t>Ejecutar una nueva versión del entrenamiento y comparar sus métricas con la línea base.</t>
  </si>
  <si>
    <t>Seleccionar la versión candidata considerando detección, tamaño y recursos del teléfono.</t>
  </si>
  <si>
    <t>Exportación y prueba del modelo móvil</t>
  </si>
  <si>
    <t>Exportar el detector al formato de ejecución local compatible con Android.</t>
  </si>
  <si>
    <t>Comparar las detecciones del modelo exportado con las obtenidas en el entorno de entrenamiento.</t>
  </si>
  <si>
    <t>Medir preliminarmente el tiempo de inferencia y registrar la configuración del Redmi Note 14.</t>
  </si>
  <si>
    <t>Preparación del entorno de desarrollo</t>
  </si>
  <si>
    <t>Crear y organizar las carpetas de aplicación Flutter, API, base de datos y pruebas.</t>
  </si>
  <si>
    <t>Configurar las dependencias y variables necesarias para ejecutar los componentes del proyecto.</t>
  </si>
  <si>
    <t>Comprobar la comunicación inicial entre la plataforma web, la API y el almacenamiento central.</t>
  </si>
  <si>
    <t>Implementación del esquema de datos</t>
  </si>
  <si>
    <t>Crear las tablas y relaciones de cuentas, fincas, lotes, árboles y diagnósticos.</t>
  </si>
  <si>
    <t>Definir los campos de detecciones, revisiones técnicas, imágenes y comentarios.</t>
  </si>
  <si>
    <t>Implementar las migraciones y restricciones de integridad de la base de datos.</t>
  </si>
  <si>
    <t>Desarrollo de autenticación y registro</t>
  </si>
  <si>
    <t>Implementar el registro propio de usuarios con el perfil inicial de productor.</t>
  </si>
  <si>
    <t>Implementar el inicio de sesión y la validación de credenciales en la API.</t>
  </si>
  <si>
    <t>Configurar la gestión de sesión y los mensajes de error de autenticación.</t>
  </si>
  <si>
    <t>Desarrollo de permisos y asignaciones</t>
  </si>
  <si>
    <t>Implementar las restricciones de acceso para administrador, productor y técnico agrónomo.</t>
  </si>
  <si>
    <t>Configurar la asignación de usuarios a fincas y unidades productivas autorizadas.</t>
  </si>
  <si>
    <t>Comprobar que las consultas y modificaciones respeten el rol y la propiedad de los registros.</t>
  </si>
  <si>
    <t>Desarrollo de gestión de usuarios</t>
  </si>
  <si>
    <t>Implementar la creación y consulta de cuentas desde el panel del administrador.</t>
  </si>
  <si>
    <t>Implementar la actualización, activación y desactivación de usuarios registrados.</t>
  </si>
  <si>
    <t>Comprobar las reglas de eliminación de cuentas con diagnósticos o comentarios relacionados.</t>
  </si>
  <si>
    <t>Desarrollo de administración de módulos</t>
  </si>
  <si>
    <t>Implementar la consulta y configuración de módulos y catálogos del sistema.</t>
  </si>
  <si>
    <t>Implementar la asignación de permisos y disponibilidad de funciones por rol.</t>
  </si>
  <si>
    <t>Verificar que los cambios administrativos se reflejen en las opciones habilitadas de la interfaz.</t>
  </si>
  <si>
    <t>Desarrollo de unidades productivas</t>
  </si>
  <si>
    <t>Implementar la creación, modificación y consulta de fincas, lotes y árboles.</t>
  </si>
  <si>
    <t>Implementar las relaciones de las unidades con productores y técnicos asignados.</t>
  </si>
  <si>
    <t>Validar los datos obligatorios y las restricciones de acceso de cada unidad productiva.</t>
  </si>
  <si>
    <t>Desarrollo de servicios de diagnóstico</t>
  </si>
  <si>
    <t>Implementar los servicios de registro y consulta de diagnósticos y archivos de imagen.</t>
  </si>
  <si>
    <t>Implementar el almacenamiento de recuadros, categorías, confianza y versión del modelo.</t>
  </si>
  <si>
    <t>Probar las respuestas de la API y la integridad de los registros asociados.</t>
  </si>
  <si>
    <t>Desarrollo de la estructura móvil</t>
  </si>
  <si>
    <t>Crear la navegación y las pantallas iniciales de la aplicación Android en Flutter.</t>
  </si>
  <si>
    <t>Implementar la autenticación móvil y el almacenamiento protegido de la sesión.</t>
  </si>
  <si>
    <t>Preparar el esquema local de unidades productivas y diagnósticos pendientes.</t>
  </si>
  <si>
    <t>Desarrollo de captura y selección de imágenes</t>
  </si>
  <si>
    <t>Implementar la captura de fotografías y los permisos de cámara en Android.</t>
  </si>
  <si>
    <t>Implementar la selección desde galería y la previsualización de la imagen elegida.</t>
  </si>
  <si>
    <t>Configurar las validaciones de archivo y los controles para repetir o cancelar la captura.</t>
  </si>
  <si>
    <t>Integración del detector en Android</t>
  </si>
  <si>
    <t>Integrar el modelo exportado con el módulo de inferencia local de la aplicación.</t>
  </si>
  <si>
    <t>Implementar la preparación de entrada y la lectura de categorías y coordenadas del resultado.</t>
  </si>
  <si>
    <t>Comprobar la ejecución del análisis con el dispositivo en modo avión.</t>
  </si>
  <si>
    <t>Desarrollo de la vista de resultados</t>
  </si>
  <si>
    <t>Implementar la visualización de recuadros sobre las zonas detectadas de la fotografía.</t>
  </si>
  <si>
    <t>Mostrar la categoría y confianza de cada hallazgo y permitir ampliar la imagen.</t>
  </si>
  <si>
    <t>Implementar los estados de carga, imagen inválida y resultado no concluyente.</t>
  </si>
  <si>
    <t>Desarrollo de guardado e historial local</t>
  </si>
  <si>
    <t>Implementar el guardado de imagen, detecciones y metadatos del diagnóstico en el teléfono.</t>
  </si>
  <si>
    <t>Implementar la consulta y filtrado del historial local por fecha y unidad productiva.</t>
  </si>
  <si>
    <t>Validar la persistencia de los registros después de cerrar y volver a abrir la aplicación.</t>
  </si>
  <si>
    <t>Desarrollo de la revisión técnica</t>
  </si>
  <si>
    <t>Implementar la validación, rechazo y corrección de los resultados por el técnico agrónomo.</t>
  </si>
  <si>
    <t>Registrar comentarios técnicos y recomendaciones generales asociados al diagnóstico.</t>
  </si>
  <si>
    <t>Conservar la predicción original y la autoría de cada revisión profesional.</t>
  </si>
  <si>
    <t>Desarrollo del reporte técnico web</t>
  </si>
  <si>
    <t>Crear la estructura e interfaz de consulta para el técnico agrónomo en la web.</t>
  </si>
  <si>
    <t>Implementar el detalle de recuadros, confianza, versión del modelo y revisión profesional.</t>
  </si>
  <si>
    <t>Configurar filtros de finca, categoría, fecha y estado de los reportes autorizados.</t>
  </si>
  <si>
    <t>Desarrollo del reporte para el productor</t>
  </si>
  <si>
    <t>Crear la estructura e interfaz del panel web del productor agrícola.</t>
  </si>
  <si>
    <t>Mostrar sus fotografías, resultados y recomendaciones con explicaciones sencillas.</t>
  </si>
  <si>
    <t>Comprobar que el productor consulte únicamente sus propios reportes y unidades productivas.</t>
  </si>
  <si>
    <t>Desarrollo de comentarios de reportes</t>
  </si>
  <si>
    <t>Implementar la creación y consulta de comentarios del productor en sus reportes.</t>
  </si>
  <si>
    <t>Implementar las respuestas del técnico asignado y el registro de autor y fecha.</t>
  </si>
  <si>
    <t>Validar los permisos de modificación o retiro de comentarios y conservar su trazabilidad.</t>
  </si>
  <si>
    <t>Implementación de la cola de sincronización</t>
  </si>
  <si>
    <t>Registrar los diagnósticos y revisiones offline en una cola de cambios pendientes.</t>
  </si>
  <si>
    <t>Implementar el envío de metadatos e imágenes al recuperar la conexión.</t>
  </si>
  <si>
    <t>Mostrar el estado de sincronización y la confirmación de recepción de cada registro.</t>
  </si>
  <si>
    <t>Control de reintentos y duplicados</t>
  </si>
  <si>
    <t>Implementar identificadores únicos y confirmaciones para evitar duplicados al sincronizar.</t>
  </si>
  <si>
    <t>Configurar los reintentos de envío ante interrupciones de red o errores temporales.</t>
  </si>
  <si>
    <t>Comprobar que los cambios locales permanezcan disponibles cuando el servidor no responda.</t>
  </si>
  <si>
    <t>Resolución de conflictos de sincronización</t>
  </si>
  <si>
    <t>Identificar modificaciones simultáneas de reportes y revisiones entre web y móvil.</t>
  </si>
  <si>
    <t>Implementar la conservación de versiones y el flujo autorizado para resolver conflictos.</t>
  </si>
  <si>
    <t>Comprobar nuevamente los permisos de los cambios recibidos antes de guardarlos en el servidor.</t>
  </si>
  <si>
    <t>Integración de administración y modelo</t>
  </si>
  <si>
    <t>Integrar la gestión administrativa de usuarios, módulos y unidades en web y móvil.</t>
  </si>
  <si>
    <t>Implementar la consulta y activación de versiones previamente validadas del modelo.</t>
  </si>
  <si>
    <t>Verificar la compatibilidad entre modelo, categorías y datos almacenados de cada diagnóstico.</t>
  </si>
  <si>
    <t>Pruebas integrales del flujo de diagnóstico</t>
  </si>
  <si>
    <t>Ejecutar el flujo completo desde captura hasta consulta del reporte sincronizado.</t>
  </si>
  <si>
    <t>Comprobar la revisión técnica y la visualización diferenciada para productor y administrador.</t>
  </si>
  <si>
    <t>Registrar incidencias de integración y priorizar las correcciones de la primera versión.</t>
  </si>
  <si>
    <t>Pruebas de funcionamiento sin conexión</t>
  </si>
  <si>
    <t>Probar captura, detección, guardado e historial con el teléfono en modo avión.</t>
  </si>
  <si>
    <t>Verificar el acceso con autorización local vigente y los mensajes al vencer la sesión.</t>
  </si>
  <si>
    <t>Probar la recuperación de conexión y el envío de los registros pendientes.</t>
  </si>
  <si>
    <t>Pruebas de rendimiento en Android</t>
  </si>
  <si>
    <t>Medir el tiempo de preprocesamiento, inferencia y visualización en el Redmi Note 14.</t>
  </si>
  <si>
    <t>Registrar el consumo de memoria y el tamaño de la aplicación y del modelo instalado.</t>
  </si>
  <si>
    <t>Comparar las mediciones con las metas propuestas y documentar las limitaciones del equipo.</t>
  </si>
  <si>
    <t>Optimización del modelo y de la aplicación</t>
  </si>
  <si>
    <t>Ajustar la carga del modelo y el procesamiento de imágenes para reducir el consumo de recursos.</t>
  </si>
  <si>
    <t>Evaluar una exportación optimizada del detector y comprobar sus métricas por categoría.</t>
  </si>
  <si>
    <t>Corregir diferencias de resultados o recuadros entre la versión de entrenamiento y Android.</t>
  </si>
  <si>
    <t>Pruebas de seguridad y permisos</t>
  </si>
  <si>
    <t>Ejecutar pruebas de autenticación, sesiones y restricciones de acceso por rol.</t>
  </si>
  <si>
    <t>Verificar la protección de reportes ajenos y las limitaciones del autorregistro.</t>
  </si>
  <si>
    <t>Comprobar el tratamiento de credenciales y la comunicación segura con el servidor.</t>
  </si>
  <si>
    <t>Pruebas de regresión y estabilidad</t>
  </si>
  <si>
    <t>Ejecutar pruebas de persistencia, comentarios y sincronización con interrupciones controladas.</t>
  </si>
  <si>
    <t>Comprobar que las correcciones no afecten los flujos previamente validados.</t>
  </si>
  <si>
    <t>Registrar los resultados y preparar la versión candidata para pruebas con usuarios.</t>
  </si>
  <si>
    <t>Pruebas de usabilidad de la plataforma</t>
  </si>
  <si>
    <t>Preparar las tareas de consulta y comentario para el productor y de diagnóstico para el técnico.</t>
  </si>
  <si>
    <t>Observar la ejecución de las tareas con usuarios representativos y registrar dificultades.</t>
  </si>
  <si>
    <t>Revisar la claridad de textos, recuadros, estados y mensajes de error.</t>
  </si>
  <si>
    <t>Ajustes de interfaz y accesibilidad</t>
  </si>
  <si>
    <t>Corregir las dificultades de navegación identificadas durante las pruebas de usabilidad.</t>
  </si>
  <si>
    <t>Ajustar el lenguaje de los reportes del productor y la presentación del detalle técnico.</t>
  </si>
  <si>
    <t>Comprobar la legibilidad, ampliación de imágenes y diferenciación de estados sin depender del color.</t>
  </si>
  <si>
    <t>Validación del alcance con la beneficiaria</t>
  </si>
  <si>
    <t>Presentar a la beneficiaria los flujos web y móvil de la versión candidata.</t>
  </si>
  <si>
    <t>Verificar el cumplimiento de los requisitos y registrar observaciones de aceptación.</t>
  </si>
  <si>
    <t>Organizar los ajustes pendientes y actualizar la matriz de trazabilidad del proyecto.</t>
  </si>
  <si>
    <t>Corrección de observaciones de aceptación</t>
  </si>
  <si>
    <t>Corregir las incidencias funcionales priorizadas durante la revisión con la beneficiaria.</t>
  </si>
  <si>
    <t>Ejecutar pruebas de los módulos y reportes modificados.</t>
  </si>
  <si>
    <t>Actualizar la documentación de requisitos y decisiones técnicas de la versión final.</t>
  </si>
  <si>
    <t>Elaboración de documentación técnica</t>
  </si>
  <si>
    <t>Documentar la instalación, configuración y ejecución de la web, API y aplicación Android.</t>
  </si>
  <si>
    <t>Registrar la versión del modelo, las categorías soportadas y los resultados de evaluación.</t>
  </si>
  <si>
    <t>Organizar los diagramas y procedimientos de respaldo y actualización del sistema.</t>
  </si>
  <si>
    <t>Preparación del despliegue de la plataforma</t>
  </si>
  <si>
    <t>Organizar las variables y configuraciones necesarias para el entorno de despliegue.</t>
  </si>
  <si>
    <t>Preparar la base de datos y los servicios de la plataforma web.</t>
  </si>
  <si>
    <t>Comprobar el acceso seguro de los clientes y los procedimientos de recuperación.</t>
  </si>
  <si>
    <t>Preparación de la aplicación Android</t>
  </si>
  <si>
    <t>Generar el paquete de instalación de la aplicación con el modelo validado.</t>
  </si>
  <si>
    <t>Realizar una instalación de prueba y verificar permisos, sesión e inferencia local.</t>
  </si>
  <si>
    <t>Comprobar la actualización del modelo y la conservación del historial existente.</t>
  </si>
  <si>
    <t>Elaboración del manual y evidencias</t>
  </si>
  <si>
    <t>Redactar el manual de uso para productor, técnico agrónomo y administrador.</t>
  </si>
  <si>
    <t>Preparar capturas y evidencias de diagnóstico offline, revisión y sincronización.</t>
  </si>
  <si>
    <t>Consolidar los resultados de pruebas y las limitaciones conocidas de la primera versión.</t>
  </si>
  <si>
    <t>Validación final del sistema</t>
  </si>
  <si>
    <t>Ejecutar las pruebas finales de registro, roles, diagnóstico, reportes y comentarios.</t>
  </si>
  <si>
    <t>Verificar la sincronización sin duplicados y la persistencia de los datos móviles.</t>
  </si>
  <si>
    <t>Comprobar el cumplimiento de requisitos y resolver las incidencias críticas restantes.</t>
  </si>
  <si>
    <t>Entrega y cierre del proyecto</t>
  </si>
  <si>
    <t>Organizar el código fuente, el modelo, el instalador Android y la documentación final.</t>
  </si>
  <si>
    <t>Presentar a la beneficiaria el funcionamiento y los resultados del sistema.</t>
  </si>
  <si>
    <t>Registrar la entrega de la versión final y las recomendaciones para futuras mejoras.</t>
  </si>
  <si>
    <t>TOTAL HORAS</t>
  </si>
  <si>
    <t>Total de horas</t>
  </si>
  <si>
    <t>Proyecto: Diagnóstico Foliar de Aguacate. Cada jornada comprende 10:00–12:00, 12:00–14:00 y 14:00–16:00.</t>
  </si>
  <si>
    <t>Calendario de lunes a viernes. Se mantienen las exclusiones de la referencia: 09/10, 02/11 y 03/11 de 2026.</t>
  </si>
  <si>
    <t>Departamento de Investigación de ingenieria en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</si>
</sst>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dd/mm/yyyy"/>
    <numFmt numFmtId="166" formatCode="mm/dd/yy"/>
  </numFmts>
  <fonts count="5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b/>
      <sz val="16"/>
      <color theme="1"/>
      <name val="Gill Sans MT"/>
      <family val="2"/>
      <scheme val="minor"/>
    </font>
    <font>
      <sz val="11"/>
      <color rgb="FF000000"/>
      <name val="Gill Sans MT"/>
      <family val="2"/>
      <scheme val="minor"/>
    </font>
    <font>
      <sz val="10"/>
      <color theme="1"/>
      <name val="Gill Sans M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5"/>
      </patternFill>
    </fill>
    <fill>
      <patternFill patternType="solid">
        <fgColor rgb="FFD69A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Distintivo">
  <a:themeElements>
    <a:clrScheme name="Distintivo">
      <a:dk1>
        <a:sysClr val="windowText" lastClr="000000"/>
      </a:dk1>
      <a:lt1>
        <a:sysClr val="window" lastClr="FFFFFF"/>
      </a:lt1>
      <a:dk2>
        <a:srgbClr val="2A1A00"/>
      </a:dk2>
      <a:lt2>
        <a:srgbClr val="F3F3F2"/>
      </a:lt2>
      <a:accent1>
        <a:srgbClr val="F8B323"/>
      </a:accent1>
      <a:accent2>
        <a:srgbClr val="656A59"/>
      </a:accent2>
      <a:accent3>
        <a:srgbClr val="46B2B5"/>
      </a:accent3>
      <a:accent4>
        <a:srgbClr val="8CAA7E"/>
      </a:accent4>
      <a:accent5>
        <a:srgbClr val="D36F68"/>
      </a:accent5>
      <a:accent6>
        <a:srgbClr val="826276"/>
      </a:accent6>
      <a:hlink>
        <a:srgbClr val="46B2B5"/>
      </a:hlink>
      <a:folHlink>
        <a:srgbClr val="A46694"/>
      </a:folHlink>
    </a:clrScheme>
    <a:fontScheme name="Distintivo">
      <a:majorFont>
        <a:latin typeface="Impact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ill Sans MT"/>
        <a:ea typeface=""/>
        <a:cs typeface=""/>
        <a:font script="Grek" typeface="Corbel"/>
        <a:font script="Cyrl" typeface="Corbel"/>
        <a:font script="Jpan" typeface="メイリオ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stintivo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508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algn="ctr" rotWithShape="0">
              <a:srgbClr val="000000">
                <a:alpha val="2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tabSelected="1" workbookViewId="0">
      <pane ySplit="8" topLeftCell="A30" activePane="bottomLeft" state="frozen"/>
      <selection pane="bottomLeft" activeCell="C69" sqref="C69:C71"/>
    </sheetView>
  </sheetViews>
  <sheetFormatPr defaultColWidth="11" defaultRowHeight="16.5" x14ac:dyDescent="0.5"/>
  <cols>
    <col min="1" max="1" width="19.453125" customWidth="1"/>
    <col min="2" max="2" width="55.6328125" style="2" customWidth="1"/>
    <col min="3" max="3" width="55.08984375" style="1" customWidth="1"/>
    <col min="4" max="4" width="13.08984375" style="1" customWidth="1"/>
    <col min="5" max="5" width="6.81640625" style="3" customWidth="1"/>
    <col min="6" max="6" width="14.81640625" style="1" customWidth="1"/>
    <col min="7" max="7" width="18.81640625" customWidth="1"/>
    <col min="8" max="8" width="10.08984375" style="2" customWidth="1"/>
  </cols>
  <sheetData>
    <row r="1" spans="1:8" ht="24" x14ac:dyDescent="0.7">
      <c r="B1" s="20" t="s">
        <v>10</v>
      </c>
      <c r="C1" s="20"/>
      <c r="D1" s="20"/>
      <c r="E1" s="20"/>
      <c r="F1" s="20"/>
      <c r="G1" s="20"/>
      <c r="H1" s="20"/>
    </row>
    <row r="2" spans="1:8" x14ac:dyDescent="0.5">
      <c r="A2" s="4" t="s">
        <v>0</v>
      </c>
      <c r="B2" s="21">
        <v>46286</v>
      </c>
    </row>
    <row r="3" spans="1:8" x14ac:dyDescent="0.5">
      <c r="A3" s="4" t="s">
        <v>1</v>
      </c>
      <c r="B3" s="21">
        <v>46374</v>
      </c>
    </row>
    <row r="4" spans="1:8" x14ac:dyDescent="0.5">
      <c r="A4" s="4" t="s">
        <v>2</v>
      </c>
      <c r="B4" s="1" t="s">
        <v>11</v>
      </c>
    </row>
    <row r="5" spans="1:8" x14ac:dyDescent="0.5">
      <c r="A5" s="4" t="s">
        <v>12</v>
      </c>
      <c r="B5" s="1" t="s">
        <v>268</v>
      </c>
    </row>
    <row r="6" spans="1:8" x14ac:dyDescent="0.5">
      <c r="A6" s="4" t="s">
        <v>3</v>
      </c>
      <c r="B6" s="1" t="s">
        <v>13</v>
      </c>
    </row>
    <row r="7" spans="1:8" ht="24.75" customHeight="1" x14ac:dyDescent="0.5"/>
    <row r="8" spans="1:8" ht="52.5" customHeight="1" x14ac:dyDescent="0.5">
      <c r="A8" s="5" t="s">
        <v>4</v>
      </c>
      <c r="B8" s="6" t="s">
        <v>5</v>
      </c>
      <c r="C8" s="6" t="s">
        <v>6</v>
      </c>
      <c r="D8" s="6" t="s">
        <v>7</v>
      </c>
      <c r="E8" s="6"/>
      <c r="F8" s="5" t="s">
        <v>8</v>
      </c>
      <c r="G8" s="7" t="s">
        <v>14</v>
      </c>
      <c r="H8" s="8" t="s">
        <v>9</v>
      </c>
    </row>
    <row r="9" spans="1:8" ht="42" customHeight="1" x14ac:dyDescent="0.5">
      <c r="A9" s="16">
        <v>46286</v>
      </c>
      <c r="B9" s="17" t="s">
        <v>15</v>
      </c>
      <c r="C9" s="9" t="s">
        <v>16</v>
      </c>
      <c r="D9" s="9">
        <v>2</v>
      </c>
      <c r="E9" s="9"/>
      <c r="F9" s="18" t="s">
        <v>17</v>
      </c>
      <c r="G9" s="18">
        <f>E11</f>
        <v>6</v>
      </c>
      <c r="H9" s="19"/>
    </row>
    <row r="10" spans="1:8" ht="42" customHeight="1" x14ac:dyDescent="0.5">
      <c r="A10" s="16"/>
      <c r="B10" s="17"/>
      <c r="C10" s="9" t="s">
        <v>18</v>
      </c>
      <c r="D10" s="9">
        <v>2</v>
      </c>
      <c r="E10" s="9"/>
      <c r="F10" s="18"/>
      <c r="G10" s="18"/>
      <c r="H10" s="19"/>
    </row>
    <row r="11" spans="1:8" ht="42" customHeight="1" x14ac:dyDescent="0.5">
      <c r="A11" s="16"/>
      <c r="B11" s="17"/>
      <c r="C11" s="9" t="s">
        <v>19</v>
      </c>
      <c r="D11" s="9">
        <v>2</v>
      </c>
      <c r="E11" s="9">
        <f>SUM(D9:D11)</f>
        <v>6</v>
      </c>
      <c r="F11" s="18"/>
      <c r="G11" s="18"/>
      <c r="H11" s="19"/>
    </row>
    <row r="12" spans="1:8" ht="42" customHeight="1" x14ac:dyDescent="0.5">
      <c r="A12" s="16">
        <v>46287</v>
      </c>
      <c r="B12" s="17" t="s">
        <v>20</v>
      </c>
      <c r="C12" s="9" t="s">
        <v>21</v>
      </c>
      <c r="D12" s="9">
        <v>2</v>
      </c>
      <c r="E12" s="9"/>
      <c r="F12" s="18" t="s">
        <v>17</v>
      </c>
      <c r="G12" s="18">
        <f>E14</f>
        <v>6</v>
      </c>
      <c r="H12" s="19"/>
    </row>
    <row r="13" spans="1:8" ht="42" customHeight="1" x14ac:dyDescent="0.5">
      <c r="A13" s="16"/>
      <c r="B13" s="17"/>
      <c r="C13" s="9" t="s">
        <v>22</v>
      </c>
      <c r="D13" s="9">
        <v>2</v>
      </c>
      <c r="E13" s="9"/>
      <c r="F13" s="18"/>
      <c r="G13" s="18"/>
      <c r="H13" s="19"/>
    </row>
    <row r="14" spans="1:8" ht="42" customHeight="1" x14ac:dyDescent="0.5">
      <c r="A14" s="16"/>
      <c r="B14" s="17"/>
      <c r="C14" s="9" t="s">
        <v>23</v>
      </c>
      <c r="D14" s="9">
        <v>2</v>
      </c>
      <c r="E14" s="9">
        <f>SUM(D12:D14)</f>
        <v>6</v>
      </c>
      <c r="F14" s="18"/>
      <c r="G14" s="18"/>
      <c r="H14" s="19"/>
    </row>
    <row r="15" spans="1:8" ht="42" customHeight="1" x14ac:dyDescent="0.5">
      <c r="A15" s="16">
        <v>46288</v>
      </c>
      <c r="B15" s="17" t="s">
        <v>24</v>
      </c>
      <c r="C15" s="9" t="s">
        <v>25</v>
      </c>
      <c r="D15" s="9">
        <v>2</v>
      </c>
      <c r="E15" s="9"/>
      <c r="F15" s="18" t="s">
        <v>17</v>
      </c>
      <c r="G15" s="18">
        <f>E17</f>
        <v>6</v>
      </c>
      <c r="H15" s="19"/>
    </row>
    <row r="16" spans="1:8" ht="42" customHeight="1" x14ac:dyDescent="0.5">
      <c r="A16" s="16"/>
      <c r="B16" s="17"/>
      <c r="C16" s="9" t="s">
        <v>26</v>
      </c>
      <c r="D16" s="9">
        <v>2</v>
      </c>
      <c r="E16" s="9"/>
      <c r="F16" s="18"/>
      <c r="G16" s="18"/>
      <c r="H16" s="19"/>
    </row>
    <row r="17" spans="1:8" ht="42" customHeight="1" x14ac:dyDescent="0.5">
      <c r="A17" s="16"/>
      <c r="B17" s="17"/>
      <c r="C17" s="9" t="s">
        <v>27</v>
      </c>
      <c r="D17" s="9">
        <v>2</v>
      </c>
      <c r="E17" s="9">
        <f>SUM(D15:D17)</f>
        <v>6</v>
      </c>
      <c r="F17" s="18"/>
      <c r="G17" s="18"/>
      <c r="H17" s="19"/>
    </row>
    <row r="18" spans="1:8" ht="42" customHeight="1" x14ac:dyDescent="0.5">
      <c r="A18" s="16">
        <v>46289</v>
      </c>
      <c r="B18" s="17" t="s">
        <v>28</v>
      </c>
      <c r="C18" s="9" t="s">
        <v>29</v>
      </c>
      <c r="D18" s="9">
        <v>2</v>
      </c>
      <c r="E18" s="9"/>
      <c r="F18" s="18" t="s">
        <v>17</v>
      </c>
      <c r="G18" s="18">
        <f>E20</f>
        <v>6</v>
      </c>
      <c r="H18" s="19"/>
    </row>
    <row r="19" spans="1:8" ht="42" customHeight="1" x14ac:dyDescent="0.5">
      <c r="A19" s="16"/>
      <c r="B19" s="17"/>
      <c r="C19" s="9" t="s">
        <v>30</v>
      </c>
      <c r="D19" s="9">
        <v>2</v>
      </c>
      <c r="E19" s="9"/>
      <c r="F19" s="18"/>
      <c r="G19" s="18"/>
      <c r="H19" s="19"/>
    </row>
    <row r="20" spans="1:8" ht="42" customHeight="1" x14ac:dyDescent="0.5">
      <c r="A20" s="16"/>
      <c r="B20" s="17"/>
      <c r="C20" s="9" t="s">
        <v>31</v>
      </c>
      <c r="D20" s="9">
        <v>2</v>
      </c>
      <c r="E20" s="9">
        <f>SUM(D18:D20)</f>
        <v>6</v>
      </c>
      <c r="F20" s="18"/>
      <c r="G20" s="18"/>
      <c r="H20" s="19"/>
    </row>
    <row r="21" spans="1:8" ht="42" customHeight="1" x14ac:dyDescent="0.5">
      <c r="A21" s="16">
        <v>46290</v>
      </c>
      <c r="B21" s="17" t="s">
        <v>32</v>
      </c>
      <c r="C21" s="9" t="s">
        <v>33</v>
      </c>
      <c r="D21" s="9">
        <v>2</v>
      </c>
      <c r="E21" s="9"/>
      <c r="F21" s="18" t="s">
        <v>17</v>
      </c>
      <c r="G21" s="18">
        <f>E23</f>
        <v>6</v>
      </c>
      <c r="H21" s="19"/>
    </row>
    <row r="22" spans="1:8" ht="42" customHeight="1" x14ac:dyDescent="0.5">
      <c r="A22" s="16"/>
      <c r="B22" s="17"/>
      <c r="C22" s="9" t="s">
        <v>34</v>
      </c>
      <c r="D22" s="9">
        <v>2</v>
      </c>
      <c r="E22" s="9"/>
      <c r="F22" s="18"/>
      <c r="G22" s="18"/>
      <c r="H22" s="19"/>
    </row>
    <row r="23" spans="1:8" ht="42" customHeight="1" x14ac:dyDescent="0.5">
      <c r="A23" s="16"/>
      <c r="B23" s="17"/>
      <c r="C23" s="9" t="s">
        <v>35</v>
      </c>
      <c r="D23" s="9">
        <v>2</v>
      </c>
      <c r="E23" s="9">
        <f>SUM(D21:D23)</f>
        <v>6</v>
      </c>
      <c r="F23" s="18"/>
      <c r="G23" s="18"/>
      <c r="H23" s="19"/>
    </row>
    <row r="24" spans="1:8" ht="42" customHeight="1" x14ac:dyDescent="0.5">
      <c r="A24" s="16">
        <v>46293</v>
      </c>
      <c r="B24" s="17" t="s">
        <v>36</v>
      </c>
      <c r="C24" s="9" t="s">
        <v>37</v>
      </c>
      <c r="D24" s="9">
        <v>2</v>
      </c>
      <c r="E24" s="9"/>
      <c r="F24" s="18" t="s">
        <v>17</v>
      </c>
      <c r="G24" s="18">
        <f>E26</f>
        <v>6</v>
      </c>
      <c r="H24" s="19"/>
    </row>
    <row r="25" spans="1:8" ht="42" customHeight="1" x14ac:dyDescent="0.5">
      <c r="A25" s="16"/>
      <c r="B25" s="17"/>
      <c r="C25" s="9" t="s">
        <v>38</v>
      </c>
      <c r="D25" s="9">
        <v>2</v>
      </c>
      <c r="E25" s="9"/>
      <c r="F25" s="18"/>
      <c r="G25" s="18"/>
      <c r="H25" s="19"/>
    </row>
    <row r="26" spans="1:8" ht="42" customHeight="1" x14ac:dyDescent="0.5">
      <c r="A26" s="16"/>
      <c r="B26" s="17"/>
      <c r="C26" s="9" t="s">
        <v>39</v>
      </c>
      <c r="D26" s="9">
        <v>2</v>
      </c>
      <c r="E26" s="9">
        <f>SUM(D24:D26)</f>
        <v>6</v>
      </c>
      <c r="F26" s="18"/>
      <c r="G26" s="18"/>
      <c r="H26" s="19"/>
    </row>
    <row r="27" spans="1:8" ht="42" customHeight="1" x14ac:dyDescent="0.5">
      <c r="A27" s="16">
        <v>46294</v>
      </c>
      <c r="B27" s="17" t="s">
        <v>40</v>
      </c>
      <c r="C27" s="9" t="s">
        <v>41</v>
      </c>
      <c r="D27" s="9">
        <v>2</v>
      </c>
      <c r="E27" s="9"/>
      <c r="F27" s="18" t="s">
        <v>17</v>
      </c>
      <c r="G27" s="18">
        <f>E29</f>
        <v>6</v>
      </c>
      <c r="H27" s="19"/>
    </row>
    <row r="28" spans="1:8" ht="42" customHeight="1" x14ac:dyDescent="0.5">
      <c r="A28" s="16"/>
      <c r="B28" s="17"/>
      <c r="C28" s="9" t="s">
        <v>42</v>
      </c>
      <c r="D28" s="9">
        <v>2</v>
      </c>
      <c r="E28" s="9"/>
      <c r="F28" s="18"/>
      <c r="G28" s="18"/>
      <c r="H28" s="19"/>
    </row>
    <row r="29" spans="1:8" ht="42" customHeight="1" x14ac:dyDescent="0.5">
      <c r="A29" s="16"/>
      <c r="B29" s="17"/>
      <c r="C29" s="9" t="s">
        <v>43</v>
      </c>
      <c r="D29" s="9">
        <v>2</v>
      </c>
      <c r="E29" s="9">
        <f>SUM(D27:D29)</f>
        <v>6</v>
      </c>
      <c r="F29" s="18"/>
      <c r="G29" s="18"/>
      <c r="H29" s="19"/>
    </row>
    <row r="30" spans="1:8" ht="42" customHeight="1" x14ac:dyDescent="0.5">
      <c r="A30" s="16">
        <v>46295</v>
      </c>
      <c r="B30" s="17" t="s">
        <v>44</v>
      </c>
      <c r="C30" s="9" t="s">
        <v>45</v>
      </c>
      <c r="D30" s="9">
        <v>2</v>
      </c>
      <c r="E30" s="9"/>
      <c r="F30" s="18" t="s">
        <v>17</v>
      </c>
      <c r="G30" s="18">
        <f>E32</f>
        <v>6</v>
      </c>
      <c r="H30" s="19"/>
    </row>
    <row r="31" spans="1:8" ht="42" customHeight="1" x14ac:dyDescent="0.5">
      <c r="A31" s="16"/>
      <c r="B31" s="17"/>
      <c r="C31" s="9" t="s">
        <v>46</v>
      </c>
      <c r="D31" s="9">
        <v>2</v>
      </c>
      <c r="E31" s="9"/>
      <c r="F31" s="18"/>
      <c r="G31" s="18"/>
      <c r="H31" s="19"/>
    </row>
    <row r="32" spans="1:8" ht="42" customHeight="1" x14ac:dyDescent="0.5">
      <c r="A32" s="16"/>
      <c r="B32" s="17"/>
      <c r="C32" s="9" t="s">
        <v>47</v>
      </c>
      <c r="D32" s="9">
        <v>2</v>
      </c>
      <c r="E32" s="9">
        <f>SUM(D30:D32)</f>
        <v>6</v>
      </c>
      <c r="F32" s="18"/>
      <c r="G32" s="18"/>
      <c r="H32" s="19"/>
    </row>
    <row r="33" spans="1:8" ht="42" customHeight="1" x14ac:dyDescent="0.5">
      <c r="A33" s="16">
        <v>46296</v>
      </c>
      <c r="B33" s="17" t="s">
        <v>48</v>
      </c>
      <c r="C33" s="9" t="s">
        <v>49</v>
      </c>
      <c r="D33" s="9">
        <v>2</v>
      </c>
      <c r="E33" s="9"/>
      <c r="F33" s="18" t="s">
        <v>17</v>
      </c>
      <c r="G33" s="18">
        <f>E35</f>
        <v>6</v>
      </c>
      <c r="H33" s="19"/>
    </row>
    <row r="34" spans="1:8" ht="42" customHeight="1" x14ac:dyDescent="0.5">
      <c r="A34" s="16"/>
      <c r="B34" s="17"/>
      <c r="C34" s="9" t="s">
        <v>50</v>
      </c>
      <c r="D34" s="9">
        <v>2</v>
      </c>
      <c r="E34" s="9"/>
      <c r="F34" s="18"/>
      <c r="G34" s="18"/>
      <c r="H34" s="19"/>
    </row>
    <row r="35" spans="1:8" ht="42" customHeight="1" x14ac:dyDescent="0.5">
      <c r="A35" s="16"/>
      <c r="B35" s="17"/>
      <c r="C35" s="9" t="s">
        <v>51</v>
      </c>
      <c r="D35" s="9">
        <v>2</v>
      </c>
      <c r="E35" s="9">
        <f>SUM(D33:D35)</f>
        <v>6</v>
      </c>
      <c r="F35" s="18"/>
      <c r="G35" s="18"/>
      <c r="H35" s="19"/>
    </row>
    <row r="36" spans="1:8" ht="42" customHeight="1" x14ac:dyDescent="0.5">
      <c r="A36" s="16">
        <v>46297</v>
      </c>
      <c r="B36" s="17" t="s">
        <v>52</v>
      </c>
      <c r="C36" s="9" t="s">
        <v>53</v>
      </c>
      <c r="D36" s="9">
        <v>2</v>
      </c>
      <c r="E36" s="9"/>
      <c r="F36" s="18" t="s">
        <v>17</v>
      </c>
      <c r="G36" s="18">
        <f>E38</f>
        <v>6</v>
      </c>
      <c r="H36" s="19"/>
    </row>
    <row r="37" spans="1:8" ht="42" customHeight="1" x14ac:dyDescent="0.5">
      <c r="A37" s="16"/>
      <c r="B37" s="17"/>
      <c r="C37" s="9" t="s">
        <v>54</v>
      </c>
      <c r="D37" s="9">
        <v>2</v>
      </c>
      <c r="E37" s="9"/>
      <c r="F37" s="18"/>
      <c r="G37" s="18"/>
      <c r="H37" s="19"/>
    </row>
    <row r="38" spans="1:8" ht="42" customHeight="1" x14ac:dyDescent="0.5">
      <c r="A38" s="16"/>
      <c r="B38" s="17"/>
      <c r="C38" s="9" t="s">
        <v>55</v>
      </c>
      <c r="D38" s="9">
        <v>2</v>
      </c>
      <c r="E38" s="9">
        <f>SUM(D36:D38)</f>
        <v>6</v>
      </c>
      <c r="F38" s="18"/>
      <c r="G38" s="18"/>
      <c r="H38" s="19"/>
    </row>
    <row r="39" spans="1:8" ht="42" customHeight="1" x14ac:dyDescent="0.5">
      <c r="A39" s="16">
        <v>46300</v>
      </c>
      <c r="B39" s="17" t="s">
        <v>56</v>
      </c>
      <c r="C39" s="9" t="s">
        <v>57</v>
      </c>
      <c r="D39" s="9">
        <v>2</v>
      </c>
      <c r="E39" s="9"/>
      <c r="F39" s="18" t="s">
        <v>17</v>
      </c>
      <c r="G39" s="18">
        <f>E41</f>
        <v>6</v>
      </c>
      <c r="H39" s="19"/>
    </row>
    <row r="40" spans="1:8" ht="42" customHeight="1" x14ac:dyDescent="0.5">
      <c r="A40" s="16"/>
      <c r="B40" s="17"/>
      <c r="C40" s="9" t="s">
        <v>58</v>
      </c>
      <c r="D40" s="9">
        <v>2</v>
      </c>
      <c r="E40" s="9"/>
      <c r="F40" s="18"/>
      <c r="G40" s="18"/>
      <c r="H40" s="19"/>
    </row>
    <row r="41" spans="1:8" ht="42" customHeight="1" x14ac:dyDescent="0.5">
      <c r="A41" s="16"/>
      <c r="B41" s="17"/>
      <c r="C41" s="9" t="s">
        <v>59</v>
      </c>
      <c r="D41" s="9">
        <v>2</v>
      </c>
      <c r="E41" s="9">
        <f>SUM(D39:D41)</f>
        <v>6</v>
      </c>
      <c r="F41" s="18"/>
      <c r="G41" s="18"/>
      <c r="H41" s="19"/>
    </row>
    <row r="42" spans="1:8" ht="42" customHeight="1" x14ac:dyDescent="0.5">
      <c r="A42" s="16">
        <v>46301</v>
      </c>
      <c r="B42" s="17" t="s">
        <v>60</v>
      </c>
      <c r="C42" s="9" t="s">
        <v>61</v>
      </c>
      <c r="D42" s="9">
        <v>2</v>
      </c>
      <c r="E42" s="9"/>
      <c r="F42" s="18" t="s">
        <v>17</v>
      </c>
      <c r="G42" s="18">
        <f>E44</f>
        <v>6</v>
      </c>
      <c r="H42" s="19"/>
    </row>
    <row r="43" spans="1:8" ht="42" customHeight="1" x14ac:dyDescent="0.5">
      <c r="A43" s="16"/>
      <c r="B43" s="17"/>
      <c r="C43" s="9" t="s">
        <v>62</v>
      </c>
      <c r="D43" s="9">
        <v>2</v>
      </c>
      <c r="E43" s="9"/>
      <c r="F43" s="18"/>
      <c r="G43" s="18"/>
      <c r="H43" s="19"/>
    </row>
    <row r="44" spans="1:8" ht="42" customHeight="1" x14ac:dyDescent="0.5">
      <c r="A44" s="16"/>
      <c r="B44" s="17"/>
      <c r="C44" s="9" t="s">
        <v>63</v>
      </c>
      <c r="D44" s="9">
        <v>2</v>
      </c>
      <c r="E44" s="9">
        <f>SUM(D42:D44)</f>
        <v>6</v>
      </c>
      <c r="F44" s="18"/>
      <c r="G44" s="18"/>
      <c r="H44" s="19"/>
    </row>
    <row r="45" spans="1:8" ht="42" customHeight="1" x14ac:dyDescent="0.5">
      <c r="A45" s="16">
        <v>46302</v>
      </c>
      <c r="B45" s="17" t="s">
        <v>64</v>
      </c>
      <c r="C45" s="9" t="s">
        <v>65</v>
      </c>
      <c r="D45" s="9">
        <v>2</v>
      </c>
      <c r="E45" s="9"/>
      <c r="F45" s="18" t="s">
        <v>17</v>
      </c>
      <c r="G45" s="18">
        <f>E47</f>
        <v>6</v>
      </c>
      <c r="H45" s="19"/>
    </row>
    <row r="46" spans="1:8" ht="42" customHeight="1" x14ac:dyDescent="0.5">
      <c r="A46" s="16"/>
      <c r="B46" s="17"/>
      <c r="C46" s="9" t="s">
        <v>66</v>
      </c>
      <c r="D46" s="9">
        <v>2</v>
      </c>
      <c r="E46" s="9"/>
      <c r="F46" s="18"/>
      <c r="G46" s="18"/>
      <c r="H46" s="19"/>
    </row>
    <row r="47" spans="1:8" ht="42" customHeight="1" x14ac:dyDescent="0.5">
      <c r="A47" s="16"/>
      <c r="B47" s="17"/>
      <c r="C47" s="9" t="s">
        <v>67</v>
      </c>
      <c r="D47" s="9">
        <v>2</v>
      </c>
      <c r="E47" s="9">
        <f>SUM(D45:D47)</f>
        <v>6</v>
      </c>
      <c r="F47" s="18"/>
      <c r="G47" s="18"/>
      <c r="H47" s="19"/>
    </row>
    <row r="48" spans="1:8" ht="42" customHeight="1" x14ac:dyDescent="0.5">
      <c r="A48" s="16">
        <v>46303</v>
      </c>
      <c r="B48" s="17" t="s">
        <v>68</v>
      </c>
      <c r="C48" s="9" t="s">
        <v>69</v>
      </c>
      <c r="D48" s="9">
        <v>2</v>
      </c>
      <c r="E48" s="9"/>
      <c r="F48" s="18" t="s">
        <v>17</v>
      </c>
      <c r="G48" s="18">
        <f>E50</f>
        <v>6</v>
      </c>
      <c r="H48" s="19"/>
    </row>
    <row r="49" spans="1:8" ht="42" customHeight="1" x14ac:dyDescent="0.5">
      <c r="A49" s="16"/>
      <c r="B49" s="17"/>
      <c r="C49" s="9" t="s">
        <v>70</v>
      </c>
      <c r="D49" s="9">
        <v>2</v>
      </c>
      <c r="E49" s="9"/>
      <c r="F49" s="18"/>
      <c r="G49" s="18"/>
      <c r="H49" s="19"/>
    </row>
    <row r="50" spans="1:8" ht="42" customHeight="1" x14ac:dyDescent="0.5">
      <c r="A50" s="16"/>
      <c r="B50" s="17"/>
      <c r="C50" s="9" t="s">
        <v>71</v>
      </c>
      <c r="D50" s="9">
        <v>2</v>
      </c>
      <c r="E50" s="9">
        <f>SUM(D48:D50)</f>
        <v>6</v>
      </c>
      <c r="F50" s="18"/>
      <c r="G50" s="18"/>
      <c r="H50" s="19"/>
    </row>
    <row r="51" spans="1:8" ht="42" customHeight="1" x14ac:dyDescent="0.5">
      <c r="A51" s="16">
        <v>46307</v>
      </c>
      <c r="B51" s="17" t="s">
        <v>72</v>
      </c>
      <c r="C51" s="9" t="s">
        <v>73</v>
      </c>
      <c r="D51" s="9">
        <v>2</v>
      </c>
      <c r="E51" s="9"/>
      <c r="F51" s="18" t="s">
        <v>17</v>
      </c>
      <c r="G51" s="18">
        <f>E53</f>
        <v>6</v>
      </c>
      <c r="H51" s="19"/>
    </row>
    <row r="52" spans="1:8" ht="42" customHeight="1" x14ac:dyDescent="0.5">
      <c r="A52" s="16"/>
      <c r="B52" s="17"/>
      <c r="C52" s="9" t="s">
        <v>74</v>
      </c>
      <c r="D52" s="9">
        <v>2</v>
      </c>
      <c r="E52" s="9"/>
      <c r="F52" s="18"/>
      <c r="G52" s="18"/>
      <c r="H52" s="19"/>
    </row>
    <row r="53" spans="1:8" ht="42" customHeight="1" x14ac:dyDescent="0.5">
      <c r="A53" s="16"/>
      <c r="B53" s="17"/>
      <c r="C53" s="9" t="s">
        <v>75</v>
      </c>
      <c r="D53" s="9">
        <v>2</v>
      </c>
      <c r="E53" s="9">
        <f>SUM(D51:D53)</f>
        <v>6</v>
      </c>
      <c r="F53" s="18"/>
      <c r="G53" s="18"/>
      <c r="H53" s="19"/>
    </row>
    <row r="54" spans="1:8" ht="42" customHeight="1" x14ac:dyDescent="0.5">
      <c r="A54" s="16">
        <v>46308</v>
      </c>
      <c r="B54" s="17" t="s">
        <v>76</v>
      </c>
      <c r="C54" s="9" t="s">
        <v>77</v>
      </c>
      <c r="D54" s="9">
        <v>2</v>
      </c>
      <c r="E54" s="9"/>
      <c r="F54" s="18" t="s">
        <v>17</v>
      </c>
      <c r="G54" s="18">
        <f>E56</f>
        <v>6</v>
      </c>
      <c r="H54" s="19"/>
    </row>
    <row r="55" spans="1:8" ht="42" customHeight="1" x14ac:dyDescent="0.5">
      <c r="A55" s="16"/>
      <c r="B55" s="17"/>
      <c r="C55" s="9" t="s">
        <v>78</v>
      </c>
      <c r="D55" s="9">
        <v>2</v>
      </c>
      <c r="E55" s="9"/>
      <c r="F55" s="18"/>
      <c r="G55" s="18"/>
      <c r="H55" s="19"/>
    </row>
    <row r="56" spans="1:8" ht="42" customHeight="1" x14ac:dyDescent="0.5">
      <c r="A56" s="16"/>
      <c r="B56" s="17"/>
      <c r="C56" s="9" t="s">
        <v>79</v>
      </c>
      <c r="D56" s="9">
        <v>2</v>
      </c>
      <c r="E56" s="9">
        <f>SUM(D54:D56)</f>
        <v>6</v>
      </c>
      <c r="F56" s="18"/>
      <c r="G56" s="18"/>
      <c r="H56" s="19"/>
    </row>
    <row r="57" spans="1:8" ht="42" customHeight="1" x14ac:dyDescent="0.5">
      <c r="A57" s="16">
        <v>46309</v>
      </c>
      <c r="B57" s="17" t="s">
        <v>80</v>
      </c>
      <c r="C57" s="9" t="s">
        <v>81</v>
      </c>
      <c r="D57" s="9">
        <v>2</v>
      </c>
      <c r="E57" s="9"/>
      <c r="F57" s="18" t="s">
        <v>17</v>
      </c>
      <c r="G57" s="18">
        <f>E59</f>
        <v>6</v>
      </c>
      <c r="H57" s="19"/>
    </row>
    <row r="58" spans="1:8" ht="42" customHeight="1" x14ac:dyDescent="0.5">
      <c r="A58" s="16"/>
      <c r="B58" s="17"/>
      <c r="C58" s="9" t="s">
        <v>82</v>
      </c>
      <c r="D58" s="9">
        <v>2</v>
      </c>
      <c r="E58" s="9"/>
      <c r="F58" s="18"/>
      <c r="G58" s="18"/>
      <c r="H58" s="19"/>
    </row>
    <row r="59" spans="1:8" ht="42" customHeight="1" x14ac:dyDescent="0.5">
      <c r="A59" s="16"/>
      <c r="B59" s="17"/>
      <c r="C59" s="9" t="s">
        <v>83</v>
      </c>
      <c r="D59" s="9">
        <v>2</v>
      </c>
      <c r="E59" s="9">
        <f>SUM(D57:D59)</f>
        <v>6</v>
      </c>
      <c r="F59" s="18"/>
      <c r="G59" s="18"/>
      <c r="H59" s="19"/>
    </row>
    <row r="60" spans="1:8" ht="42" customHeight="1" x14ac:dyDescent="0.5">
      <c r="A60" s="16">
        <v>46310</v>
      </c>
      <c r="B60" s="17" t="s">
        <v>84</v>
      </c>
      <c r="C60" s="9" t="s">
        <v>85</v>
      </c>
      <c r="D60" s="9">
        <v>2</v>
      </c>
      <c r="E60" s="9"/>
      <c r="F60" s="18" t="s">
        <v>17</v>
      </c>
      <c r="G60" s="18">
        <f>E62</f>
        <v>6</v>
      </c>
      <c r="H60" s="19"/>
    </row>
    <row r="61" spans="1:8" ht="42" customHeight="1" x14ac:dyDescent="0.5">
      <c r="A61" s="16"/>
      <c r="B61" s="17"/>
      <c r="C61" s="9" t="s">
        <v>86</v>
      </c>
      <c r="D61" s="9">
        <v>2</v>
      </c>
      <c r="E61" s="9"/>
      <c r="F61" s="18"/>
      <c r="G61" s="18"/>
      <c r="H61" s="19"/>
    </row>
    <row r="62" spans="1:8" ht="42" customHeight="1" x14ac:dyDescent="0.5">
      <c r="A62" s="16"/>
      <c r="B62" s="17"/>
      <c r="C62" s="9" t="s">
        <v>87</v>
      </c>
      <c r="D62" s="9">
        <v>2</v>
      </c>
      <c r="E62" s="9">
        <f>SUM(D60:D62)</f>
        <v>6</v>
      </c>
      <c r="F62" s="18"/>
      <c r="G62" s="18"/>
      <c r="H62" s="19"/>
    </row>
    <row r="63" spans="1:8" ht="42" customHeight="1" x14ac:dyDescent="0.5">
      <c r="A63" s="16">
        <v>46311</v>
      </c>
      <c r="B63" s="17" t="s">
        <v>88</v>
      </c>
      <c r="C63" s="9" t="s">
        <v>89</v>
      </c>
      <c r="D63" s="9">
        <v>2</v>
      </c>
      <c r="E63" s="9"/>
      <c r="F63" s="18" t="s">
        <v>17</v>
      </c>
      <c r="G63" s="18">
        <f>E65</f>
        <v>6</v>
      </c>
      <c r="H63" s="19"/>
    </row>
    <row r="64" spans="1:8" ht="42" customHeight="1" x14ac:dyDescent="0.5">
      <c r="A64" s="16"/>
      <c r="B64" s="17"/>
      <c r="C64" s="9" t="s">
        <v>90</v>
      </c>
      <c r="D64" s="9">
        <v>2</v>
      </c>
      <c r="E64" s="9"/>
      <c r="F64" s="18"/>
      <c r="G64" s="18"/>
      <c r="H64" s="19"/>
    </row>
    <row r="65" spans="1:8" ht="42" customHeight="1" x14ac:dyDescent="0.5">
      <c r="A65" s="16"/>
      <c r="B65" s="17"/>
      <c r="C65" s="9" t="s">
        <v>91</v>
      </c>
      <c r="D65" s="9">
        <v>2</v>
      </c>
      <c r="E65" s="9">
        <f>SUM(D63:D65)</f>
        <v>6</v>
      </c>
      <c r="F65" s="18"/>
      <c r="G65" s="18"/>
      <c r="H65" s="19"/>
    </row>
    <row r="66" spans="1:8" ht="42" customHeight="1" x14ac:dyDescent="0.5">
      <c r="A66" s="16">
        <v>46314</v>
      </c>
      <c r="B66" s="17" t="s">
        <v>92</v>
      </c>
      <c r="C66" s="9" t="s">
        <v>93</v>
      </c>
      <c r="D66" s="9">
        <v>2</v>
      </c>
      <c r="E66" s="9"/>
      <c r="F66" s="18" t="s">
        <v>17</v>
      </c>
      <c r="G66" s="18">
        <f>E68</f>
        <v>6</v>
      </c>
      <c r="H66" s="19"/>
    </row>
    <row r="67" spans="1:8" ht="42" customHeight="1" x14ac:dyDescent="0.5">
      <c r="A67" s="16"/>
      <c r="B67" s="17"/>
      <c r="C67" s="9" t="s">
        <v>94</v>
      </c>
      <c r="D67" s="9">
        <v>2</v>
      </c>
      <c r="E67" s="9"/>
      <c r="F67" s="18"/>
      <c r="G67" s="18"/>
      <c r="H67" s="19"/>
    </row>
    <row r="68" spans="1:8" ht="42" customHeight="1" x14ac:dyDescent="0.5">
      <c r="A68" s="16"/>
      <c r="B68" s="17"/>
      <c r="C68" s="9" t="s">
        <v>95</v>
      </c>
      <c r="D68" s="9">
        <v>2</v>
      </c>
      <c r="E68" s="9">
        <f>SUM(D66:D68)</f>
        <v>6</v>
      </c>
      <c r="F68" s="18"/>
      <c r="G68" s="18"/>
      <c r="H68" s="19"/>
    </row>
    <row r="69" spans="1:8" ht="42" customHeight="1" x14ac:dyDescent="0.5">
      <c r="A69" s="16">
        <v>46315</v>
      </c>
      <c r="B69" s="17" t="s">
        <v>96</v>
      </c>
      <c r="C69" s="9" t="s">
        <v>97</v>
      </c>
      <c r="D69" s="9">
        <v>2</v>
      </c>
      <c r="E69" s="9"/>
      <c r="F69" s="18" t="s">
        <v>17</v>
      </c>
      <c r="G69" s="18">
        <f>E71</f>
        <v>6</v>
      </c>
      <c r="H69" s="19"/>
    </row>
    <row r="70" spans="1:8" ht="42" customHeight="1" x14ac:dyDescent="0.5">
      <c r="A70" s="16"/>
      <c r="B70" s="17"/>
      <c r="C70" s="9" t="s">
        <v>98</v>
      </c>
      <c r="D70" s="9">
        <v>2</v>
      </c>
      <c r="E70" s="9"/>
      <c r="F70" s="18"/>
      <c r="G70" s="18"/>
      <c r="H70" s="19"/>
    </row>
    <row r="71" spans="1:8" ht="42" customHeight="1" x14ac:dyDescent="0.5">
      <c r="A71" s="16"/>
      <c r="B71" s="17"/>
      <c r="C71" s="9" t="s">
        <v>99</v>
      </c>
      <c r="D71" s="9">
        <v>2</v>
      </c>
      <c r="E71" s="9">
        <f>SUM(D69:D71)</f>
        <v>6</v>
      </c>
      <c r="F71" s="18"/>
      <c r="G71" s="18"/>
      <c r="H71" s="19"/>
    </row>
    <row r="72" spans="1:8" ht="42" customHeight="1" x14ac:dyDescent="0.5">
      <c r="A72" s="16">
        <v>46316</v>
      </c>
      <c r="B72" s="17" t="s">
        <v>100</v>
      </c>
      <c r="C72" s="9" t="s">
        <v>101</v>
      </c>
      <c r="D72" s="9">
        <v>2</v>
      </c>
      <c r="E72" s="9"/>
      <c r="F72" s="18" t="s">
        <v>17</v>
      </c>
      <c r="G72" s="18">
        <f>E74</f>
        <v>6</v>
      </c>
      <c r="H72" s="19"/>
    </row>
    <row r="73" spans="1:8" ht="42" customHeight="1" x14ac:dyDescent="0.5">
      <c r="A73" s="16"/>
      <c r="B73" s="17"/>
      <c r="C73" s="9" t="s">
        <v>102</v>
      </c>
      <c r="D73" s="9">
        <v>2</v>
      </c>
      <c r="E73" s="9"/>
      <c r="F73" s="18"/>
      <c r="G73" s="18"/>
      <c r="H73" s="19"/>
    </row>
    <row r="74" spans="1:8" ht="42" customHeight="1" x14ac:dyDescent="0.5">
      <c r="A74" s="16"/>
      <c r="B74" s="17"/>
      <c r="C74" s="9" t="s">
        <v>103</v>
      </c>
      <c r="D74" s="9">
        <v>2</v>
      </c>
      <c r="E74" s="9">
        <f>SUM(D72:D74)</f>
        <v>6</v>
      </c>
      <c r="F74" s="18"/>
      <c r="G74" s="18"/>
      <c r="H74" s="19"/>
    </row>
    <row r="75" spans="1:8" ht="42" customHeight="1" x14ac:dyDescent="0.5">
      <c r="A75" s="16">
        <v>46317</v>
      </c>
      <c r="B75" s="17" t="s">
        <v>104</v>
      </c>
      <c r="C75" s="9" t="s">
        <v>105</v>
      </c>
      <c r="D75" s="9">
        <v>2</v>
      </c>
      <c r="E75" s="9"/>
      <c r="F75" s="18" t="s">
        <v>17</v>
      </c>
      <c r="G75" s="18">
        <f>E77</f>
        <v>6</v>
      </c>
      <c r="H75" s="19"/>
    </row>
    <row r="76" spans="1:8" ht="42" customHeight="1" x14ac:dyDescent="0.5">
      <c r="A76" s="16"/>
      <c r="B76" s="17"/>
      <c r="C76" s="9" t="s">
        <v>106</v>
      </c>
      <c r="D76" s="9">
        <v>2</v>
      </c>
      <c r="E76" s="9"/>
      <c r="F76" s="18"/>
      <c r="G76" s="18"/>
      <c r="H76" s="19"/>
    </row>
    <row r="77" spans="1:8" ht="42" customHeight="1" x14ac:dyDescent="0.5">
      <c r="A77" s="16"/>
      <c r="B77" s="17"/>
      <c r="C77" s="9" t="s">
        <v>107</v>
      </c>
      <c r="D77" s="9">
        <v>2</v>
      </c>
      <c r="E77" s="9">
        <f>SUM(D75:D77)</f>
        <v>6</v>
      </c>
      <c r="F77" s="18"/>
      <c r="G77" s="18"/>
      <c r="H77" s="19"/>
    </row>
    <row r="78" spans="1:8" ht="42" customHeight="1" x14ac:dyDescent="0.5">
      <c r="A78" s="16">
        <v>46318</v>
      </c>
      <c r="B78" s="17" t="s">
        <v>108</v>
      </c>
      <c r="C78" s="9" t="s">
        <v>109</v>
      </c>
      <c r="D78" s="9">
        <v>2</v>
      </c>
      <c r="E78" s="9"/>
      <c r="F78" s="18" t="s">
        <v>17</v>
      </c>
      <c r="G78" s="18">
        <f>E80</f>
        <v>6</v>
      </c>
      <c r="H78" s="19"/>
    </row>
    <row r="79" spans="1:8" ht="42" customHeight="1" x14ac:dyDescent="0.5">
      <c r="A79" s="16"/>
      <c r="B79" s="17"/>
      <c r="C79" s="9" t="s">
        <v>110</v>
      </c>
      <c r="D79" s="9">
        <v>2</v>
      </c>
      <c r="E79" s="9"/>
      <c r="F79" s="18"/>
      <c r="G79" s="18"/>
      <c r="H79" s="19"/>
    </row>
    <row r="80" spans="1:8" ht="42" customHeight="1" x14ac:dyDescent="0.5">
      <c r="A80" s="16"/>
      <c r="B80" s="17"/>
      <c r="C80" s="9" t="s">
        <v>111</v>
      </c>
      <c r="D80" s="9">
        <v>2</v>
      </c>
      <c r="E80" s="9">
        <f>SUM(D78:D80)</f>
        <v>6</v>
      </c>
      <c r="F80" s="18"/>
      <c r="G80" s="18"/>
      <c r="H80" s="19"/>
    </row>
    <row r="81" spans="1:8" ht="42" customHeight="1" x14ac:dyDescent="0.5">
      <c r="A81" s="16">
        <v>46321</v>
      </c>
      <c r="B81" s="17" t="s">
        <v>112</v>
      </c>
      <c r="C81" s="9" t="s">
        <v>113</v>
      </c>
      <c r="D81" s="9">
        <v>2</v>
      </c>
      <c r="E81" s="9"/>
      <c r="F81" s="18" t="s">
        <v>17</v>
      </c>
      <c r="G81" s="18">
        <f>E83</f>
        <v>6</v>
      </c>
      <c r="H81" s="19"/>
    </row>
    <row r="82" spans="1:8" ht="42" customHeight="1" x14ac:dyDescent="0.5">
      <c r="A82" s="16"/>
      <c r="B82" s="17"/>
      <c r="C82" s="9" t="s">
        <v>114</v>
      </c>
      <c r="D82" s="9">
        <v>2</v>
      </c>
      <c r="E82" s="9"/>
      <c r="F82" s="18"/>
      <c r="G82" s="18"/>
      <c r="H82" s="19"/>
    </row>
    <row r="83" spans="1:8" ht="42" customHeight="1" x14ac:dyDescent="0.5">
      <c r="A83" s="16"/>
      <c r="B83" s="17"/>
      <c r="C83" s="9" t="s">
        <v>115</v>
      </c>
      <c r="D83" s="9">
        <v>2</v>
      </c>
      <c r="E83" s="9">
        <f>SUM(D81:D83)</f>
        <v>6</v>
      </c>
      <c r="F83" s="18"/>
      <c r="G83" s="18"/>
      <c r="H83" s="19"/>
    </row>
    <row r="84" spans="1:8" ht="42" customHeight="1" x14ac:dyDescent="0.5">
      <c r="A84" s="16">
        <v>46322</v>
      </c>
      <c r="B84" s="17" t="s">
        <v>116</v>
      </c>
      <c r="C84" s="9" t="s">
        <v>117</v>
      </c>
      <c r="D84" s="9">
        <v>2</v>
      </c>
      <c r="E84" s="9"/>
      <c r="F84" s="18" t="s">
        <v>17</v>
      </c>
      <c r="G84" s="18">
        <f>E86</f>
        <v>6</v>
      </c>
      <c r="H84" s="19"/>
    </row>
    <row r="85" spans="1:8" ht="42" customHeight="1" x14ac:dyDescent="0.5">
      <c r="A85" s="16"/>
      <c r="B85" s="17"/>
      <c r="C85" s="9" t="s">
        <v>118</v>
      </c>
      <c r="D85" s="9">
        <v>2</v>
      </c>
      <c r="E85" s="9"/>
      <c r="F85" s="18"/>
      <c r="G85" s="18"/>
      <c r="H85" s="19"/>
    </row>
    <row r="86" spans="1:8" ht="42" customHeight="1" x14ac:dyDescent="0.5">
      <c r="A86" s="16"/>
      <c r="B86" s="17"/>
      <c r="C86" s="9" t="s">
        <v>119</v>
      </c>
      <c r="D86" s="9">
        <v>2</v>
      </c>
      <c r="E86" s="9">
        <f>SUM(D84:D86)</f>
        <v>6</v>
      </c>
      <c r="F86" s="18"/>
      <c r="G86" s="18"/>
      <c r="H86" s="19"/>
    </row>
    <row r="87" spans="1:8" ht="42" customHeight="1" x14ac:dyDescent="0.5">
      <c r="A87" s="16">
        <v>46323</v>
      </c>
      <c r="B87" s="17" t="s">
        <v>120</v>
      </c>
      <c r="C87" s="9" t="s">
        <v>121</v>
      </c>
      <c r="D87" s="9">
        <v>2</v>
      </c>
      <c r="E87" s="9"/>
      <c r="F87" s="18" t="s">
        <v>17</v>
      </c>
      <c r="G87" s="18">
        <f>E89</f>
        <v>6</v>
      </c>
      <c r="H87" s="19"/>
    </row>
    <row r="88" spans="1:8" ht="42" customHeight="1" x14ac:dyDescent="0.5">
      <c r="A88" s="16"/>
      <c r="B88" s="17"/>
      <c r="C88" s="9" t="s">
        <v>122</v>
      </c>
      <c r="D88" s="9">
        <v>2</v>
      </c>
      <c r="E88" s="9"/>
      <c r="F88" s="18"/>
      <c r="G88" s="18"/>
      <c r="H88" s="19"/>
    </row>
    <row r="89" spans="1:8" ht="42" customHeight="1" x14ac:dyDescent="0.5">
      <c r="A89" s="16"/>
      <c r="B89" s="17"/>
      <c r="C89" s="9" t="s">
        <v>123</v>
      </c>
      <c r="D89" s="9">
        <v>2</v>
      </c>
      <c r="E89" s="9">
        <f>SUM(D87:D89)</f>
        <v>6</v>
      </c>
      <c r="F89" s="18"/>
      <c r="G89" s="18"/>
      <c r="H89" s="19"/>
    </row>
    <row r="90" spans="1:8" ht="42" customHeight="1" x14ac:dyDescent="0.5">
      <c r="A90" s="16">
        <v>46324</v>
      </c>
      <c r="B90" s="17" t="s">
        <v>124</v>
      </c>
      <c r="C90" s="9" t="s">
        <v>125</v>
      </c>
      <c r="D90" s="9">
        <v>2</v>
      </c>
      <c r="E90" s="9"/>
      <c r="F90" s="18" t="s">
        <v>17</v>
      </c>
      <c r="G90" s="18">
        <f>E92</f>
        <v>6</v>
      </c>
      <c r="H90" s="19"/>
    </row>
    <row r="91" spans="1:8" ht="42" customHeight="1" x14ac:dyDescent="0.5">
      <c r="A91" s="16"/>
      <c r="B91" s="17"/>
      <c r="C91" s="9" t="s">
        <v>126</v>
      </c>
      <c r="D91" s="9">
        <v>2</v>
      </c>
      <c r="E91" s="9"/>
      <c r="F91" s="18"/>
      <c r="G91" s="18"/>
      <c r="H91" s="19"/>
    </row>
    <row r="92" spans="1:8" ht="42" customHeight="1" x14ac:dyDescent="0.5">
      <c r="A92" s="16"/>
      <c r="B92" s="17"/>
      <c r="C92" s="9" t="s">
        <v>127</v>
      </c>
      <c r="D92" s="9">
        <v>2</v>
      </c>
      <c r="E92" s="9">
        <f>SUM(D90:D92)</f>
        <v>6</v>
      </c>
      <c r="F92" s="18"/>
      <c r="G92" s="18"/>
      <c r="H92" s="19"/>
    </row>
    <row r="93" spans="1:8" ht="42" customHeight="1" x14ac:dyDescent="0.5">
      <c r="A93" s="16">
        <v>46325</v>
      </c>
      <c r="B93" s="17" t="s">
        <v>128</v>
      </c>
      <c r="C93" s="9" t="s">
        <v>129</v>
      </c>
      <c r="D93" s="9">
        <v>2</v>
      </c>
      <c r="E93" s="9"/>
      <c r="F93" s="18" t="s">
        <v>17</v>
      </c>
      <c r="G93" s="18">
        <f>E95</f>
        <v>6</v>
      </c>
      <c r="H93" s="19"/>
    </row>
    <row r="94" spans="1:8" ht="42" customHeight="1" x14ac:dyDescent="0.5">
      <c r="A94" s="16"/>
      <c r="B94" s="17"/>
      <c r="C94" s="9" t="s">
        <v>130</v>
      </c>
      <c r="D94" s="9">
        <v>2</v>
      </c>
      <c r="E94" s="9"/>
      <c r="F94" s="18"/>
      <c r="G94" s="18"/>
      <c r="H94" s="19"/>
    </row>
    <row r="95" spans="1:8" ht="42" customHeight="1" x14ac:dyDescent="0.5">
      <c r="A95" s="16"/>
      <c r="B95" s="17"/>
      <c r="C95" s="9" t="s">
        <v>131</v>
      </c>
      <c r="D95" s="9">
        <v>2</v>
      </c>
      <c r="E95" s="9">
        <f>SUM(D93:D95)</f>
        <v>6</v>
      </c>
      <c r="F95" s="18"/>
      <c r="G95" s="18"/>
      <c r="H95" s="19"/>
    </row>
    <row r="96" spans="1:8" ht="42" customHeight="1" x14ac:dyDescent="0.5">
      <c r="A96" s="16">
        <v>46330</v>
      </c>
      <c r="B96" s="17" t="s">
        <v>132</v>
      </c>
      <c r="C96" s="9" t="s">
        <v>133</v>
      </c>
      <c r="D96" s="9">
        <v>2</v>
      </c>
      <c r="E96" s="9"/>
      <c r="F96" s="18" t="s">
        <v>17</v>
      </c>
      <c r="G96" s="18">
        <f>E98</f>
        <v>6</v>
      </c>
      <c r="H96" s="19"/>
    </row>
    <row r="97" spans="1:8" ht="42" customHeight="1" x14ac:dyDescent="0.5">
      <c r="A97" s="16"/>
      <c r="B97" s="17"/>
      <c r="C97" s="9" t="s">
        <v>134</v>
      </c>
      <c r="D97" s="9">
        <v>2</v>
      </c>
      <c r="E97" s="9"/>
      <c r="F97" s="18"/>
      <c r="G97" s="18"/>
      <c r="H97" s="19"/>
    </row>
    <row r="98" spans="1:8" ht="42" customHeight="1" x14ac:dyDescent="0.5">
      <c r="A98" s="16"/>
      <c r="B98" s="17"/>
      <c r="C98" s="9" t="s">
        <v>135</v>
      </c>
      <c r="D98" s="9">
        <v>2</v>
      </c>
      <c r="E98" s="9">
        <f>SUM(D96:D98)</f>
        <v>6</v>
      </c>
      <c r="F98" s="18"/>
      <c r="G98" s="18"/>
      <c r="H98" s="19"/>
    </row>
    <row r="99" spans="1:8" ht="42" customHeight="1" x14ac:dyDescent="0.5">
      <c r="A99" s="16">
        <v>46331</v>
      </c>
      <c r="B99" s="17" t="s">
        <v>136</v>
      </c>
      <c r="C99" s="9" t="s">
        <v>137</v>
      </c>
      <c r="D99" s="9">
        <v>2</v>
      </c>
      <c r="E99" s="9"/>
      <c r="F99" s="18" t="s">
        <v>17</v>
      </c>
      <c r="G99" s="18">
        <f>E101</f>
        <v>6</v>
      </c>
      <c r="H99" s="19"/>
    </row>
    <row r="100" spans="1:8" ht="42" customHeight="1" x14ac:dyDescent="0.5">
      <c r="A100" s="16"/>
      <c r="B100" s="17"/>
      <c r="C100" s="9" t="s">
        <v>138</v>
      </c>
      <c r="D100" s="9">
        <v>2</v>
      </c>
      <c r="E100" s="9"/>
      <c r="F100" s="18"/>
      <c r="G100" s="18"/>
      <c r="H100" s="19"/>
    </row>
    <row r="101" spans="1:8" ht="42" customHeight="1" x14ac:dyDescent="0.5">
      <c r="A101" s="16"/>
      <c r="B101" s="17"/>
      <c r="C101" s="9" t="s">
        <v>139</v>
      </c>
      <c r="D101" s="9">
        <v>2</v>
      </c>
      <c r="E101" s="9">
        <f>SUM(D99:D101)</f>
        <v>6</v>
      </c>
      <c r="F101" s="18"/>
      <c r="G101" s="18"/>
      <c r="H101" s="19"/>
    </row>
    <row r="102" spans="1:8" ht="42" customHeight="1" x14ac:dyDescent="0.5">
      <c r="A102" s="16">
        <v>46332</v>
      </c>
      <c r="B102" s="17" t="s">
        <v>140</v>
      </c>
      <c r="C102" s="9" t="s">
        <v>141</v>
      </c>
      <c r="D102" s="9">
        <v>2</v>
      </c>
      <c r="E102" s="9"/>
      <c r="F102" s="18" t="s">
        <v>17</v>
      </c>
      <c r="G102" s="18">
        <f>E104</f>
        <v>6</v>
      </c>
      <c r="H102" s="19"/>
    </row>
    <row r="103" spans="1:8" ht="42" customHeight="1" x14ac:dyDescent="0.5">
      <c r="A103" s="16"/>
      <c r="B103" s="17"/>
      <c r="C103" s="9" t="s">
        <v>142</v>
      </c>
      <c r="D103" s="9">
        <v>2</v>
      </c>
      <c r="E103" s="9"/>
      <c r="F103" s="18"/>
      <c r="G103" s="18"/>
      <c r="H103" s="19"/>
    </row>
    <row r="104" spans="1:8" ht="42" customHeight="1" x14ac:dyDescent="0.5">
      <c r="A104" s="16"/>
      <c r="B104" s="17"/>
      <c r="C104" s="9" t="s">
        <v>143</v>
      </c>
      <c r="D104" s="9">
        <v>2</v>
      </c>
      <c r="E104" s="9">
        <f>SUM(D102:D104)</f>
        <v>6</v>
      </c>
      <c r="F104" s="18"/>
      <c r="G104" s="18"/>
      <c r="H104" s="19"/>
    </row>
    <row r="105" spans="1:8" ht="42" customHeight="1" x14ac:dyDescent="0.5">
      <c r="A105" s="16">
        <v>46335</v>
      </c>
      <c r="B105" s="17" t="s">
        <v>144</v>
      </c>
      <c r="C105" s="9" t="s">
        <v>145</v>
      </c>
      <c r="D105" s="9">
        <v>2</v>
      </c>
      <c r="E105" s="9"/>
      <c r="F105" s="18" t="s">
        <v>17</v>
      </c>
      <c r="G105" s="18">
        <f>E107</f>
        <v>6</v>
      </c>
      <c r="H105" s="19"/>
    </row>
    <row r="106" spans="1:8" ht="42" customHeight="1" x14ac:dyDescent="0.5">
      <c r="A106" s="16"/>
      <c r="B106" s="17"/>
      <c r="C106" s="9" t="s">
        <v>146</v>
      </c>
      <c r="D106" s="9">
        <v>2</v>
      </c>
      <c r="E106" s="9"/>
      <c r="F106" s="18"/>
      <c r="G106" s="18"/>
      <c r="H106" s="19"/>
    </row>
    <row r="107" spans="1:8" ht="42" customHeight="1" x14ac:dyDescent="0.5">
      <c r="A107" s="16"/>
      <c r="B107" s="17"/>
      <c r="C107" s="9" t="s">
        <v>147</v>
      </c>
      <c r="D107" s="9">
        <v>2</v>
      </c>
      <c r="E107" s="9">
        <f>SUM(D105:D107)</f>
        <v>6</v>
      </c>
      <c r="F107" s="18"/>
      <c r="G107" s="18"/>
      <c r="H107" s="19"/>
    </row>
    <row r="108" spans="1:8" ht="42" customHeight="1" x14ac:dyDescent="0.5">
      <c r="A108" s="16">
        <v>46336</v>
      </c>
      <c r="B108" s="17" t="s">
        <v>148</v>
      </c>
      <c r="C108" s="9" t="s">
        <v>149</v>
      </c>
      <c r="D108" s="9">
        <v>2</v>
      </c>
      <c r="E108" s="9"/>
      <c r="F108" s="18" t="s">
        <v>17</v>
      </c>
      <c r="G108" s="18">
        <f>E110</f>
        <v>6</v>
      </c>
      <c r="H108" s="19"/>
    </row>
    <row r="109" spans="1:8" ht="42" customHeight="1" x14ac:dyDescent="0.5">
      <c r="A109" s="16"/>
      <c r="B109" s="17"/>
      <c r="C109" s="9" t="s">
        <v>150</v>
      </c>
      <c r="D109" s="9">
        <v>2</v>
      </c>
      <c r="E109" s="9"/>
      <c r="F109" s="18"/>
      <c r="G109" s="18"/>
      <c r="H109" s="19"/>
    </row>
    <row r="110" spans="1:8" ht="42" customHeight="1" x14ac:dyDescent="0.5">
      <c r="A110" s="16"/>
      <c r="B110" s="17"/>
      <c r="C110" s="9" t="s">
        <v>151</v>
      </c>
      <c r="D110" s="9">
        <v>2</v>
      </c>
      <c r="E110" s="9">
        <f>SUM(D108:D110)</f>
        <v>6</v>
      </c>
      <c r="F110" s="18"/>
      <c r="G110" s="18"/>
      <c r="H110" s="19"/>
    </row>
    <row r="111" spans="1:8" ht="42" customHeight="1" x14ac:dyDescent="0.5">
      <c r="A111" s="16">
        <v>46337</v>
      </c>
      <c r="B111" s="17" t="s">
        <v>152</v>
      </c>
      <c r="C111" s="9" t="s">
        <v>153</v>
      </c>
      <c r="D111" s="9">
        <v>2</v>
      </c>
      <c r="E111" s="9"/>
      <c r="F111" s="18" t="s">
        <v>17</v>
      </c>
      <c r="G111" s="18">
        <f>E113</f>
        <v>6</v>
      </c>
      <c r="H111" s="19"/>
    </row>
    <row r="112" spans="1:8" ht="42" customHeight="1" x14ac:dyDescent="0.5">
      <c r="A112" s="16"/>
      <c r="B112" s="17"/>
      <c r="C112" s="9" t="s">
        <v>154</v>
      </c>
      <c r="D112" s="9">
        <v>2</v>
      </c>
      <c r="E112" s="9"/>
      <c r="F112" s="18"/>
      <c r="G112" s="18"/>
      <c r="H112" s="19"/>
    </row>
    <row r="113" spans="1:8" ht="42" customHeight="1" x14ac:dyDescent="0.5">
      <c r="A113" s="16"/>
      <c r="B113" s="17"/>
      <c r="C113" s="9" t="s">
        <v>155</v>
      </c>
      <c r="D113" s="9">
        <v>2</v>
      </c>
      <c r="E113" s="9">
        <f>SUM(D111:D113)</f>
        <v>6</v>
      </c>
      <c r="F113" s="18"/>
      <c r="G113" s="18"/>
      <c r="H113" s="19"/>
    </row>
    <row r="114" spans="1:8" ht="42" customHeight="1" x14ac:dyDescent="0.5">
      <c r="A114" s="16">
        <v>46338</v>
      </c>
      <c r="B114" s="17" t="s">
        <v>156</v>
      </c>
      <c r="C114" s="9" t="s">
        <v>157</v>
      </c>
      <c r="D114" s="9">
        <v>2</v>
      </c>
      <c r="E114" s="9"/>
      <c r="F114" s="18" t="s">
        <v>17</v>
      </c>
      <c r="G114" s="18">
        <f>E116</f>
        <v>6</v>
      </c>
      <c r="H114" s="19"/>
    </row>
    <row r="115" spans="1:8" ht="42" customHeight="1" x14ac:dyDescent="0.5">
      <c r="A115" s="16"/>
      <c r="B115" s="17"/>
      <c r="C115" s="9" t="s">
        <v>158</v>
      </c>
      <c r="D115" s="9">
        <v>2</v>
      </c>
      <c r="E115" s="9"/>
      <c r="F115" s="18"/>
      <c r="G115" s="18"/>
      <c r="H115" s="19"/>
    </row>
    <row r="116" spans="1:8" ht="42" customHeight="1" x14ac:dyDescent="0.5">
      <c r="A116" s="16"/>
      <c r="B116" s="17"/>
      <c r="C116" s="9" t="s">
        <v>159</v>
      </c>
      <c r="D116" s="9">
        <v>2</v>
      </c>
      <c r="E116" s="9">
        <f>SUM(D114:D116)</f>
        <v>6</v>
      </c>
      <c r="F116" s="18"/>
      <c r="G116" s="18"/>
      <c r="H116" s="19"/>
    </row>
    <row r="117" spans="1:8" ht="42" customHeight="1" x14ac:dyDescent="0.5">
      <c r="A117" s="16">
        <v>46339</v>
      </c>
      <c r="B117" s="17" t="s">
        <v>160</v>
      </c>
      <c r="C117" s="9" t="s">
        <v>161</v>
      </c>
      <c r="D117" s="9">
        <v>2</v>
      </c>
      <c r="E117" s="9"/>
      <c r="F117" s="18" t="s">
        <v>17</v>
      </c>
      <c r="G117" s="18">
        <f>E119</f>
        <v>6</v>
      </c>
      <c r="H117" s="19"/>
    </row>
    <row r="118" spans="1:8" ht="42" customHeight="1" x14ac:dyDescent="0.5">
      <c r="A118" s="16"/>
      <c r="B118" s="17"/>
      <c r="C118" s="9" t="s">
        <v>162</v>
      </c>
      <c r="D118" s="9">
        <v>2</v>
      </c>
      <c r="E118" s="9"/>
      <c r="F118" s="18"/>
      <c r="G118" s="18"/>
      <c r="H118" s="19"/>
    </row>
    <row r="119" spans="1:8" ht="42" customHeight="1" x14ac:dyDescent="0.5">
      <c r="A119" s="16"/>
      <c r="B119" s="17"/>
      <c r="C119" s="9" t="s">
        <v>163</v>
      </c>
      <c r="D119" s="9">
        <v>2</v>
      </c>
      <c r="E119" s="9">
        <f>SUM(D117:D119)</f>
        <v>6</v>
      </c>
      <c r="F119" s="18"/>
      <c r="G119" s="18"/>
      <c r="H119" s="19"/>
    </row>
    <row r="120" spans="1:8" ht="42" customHeight="1" x14ac:dyDescent="0.5">
      <c r="A120" s="16">
        <v>46342</v>
      </c>
      <c r="B120" s="17" t="s">
        <v>164</v>
      </c>
      <c r="C120" s="9" t="s">
        <v>165</v>
      </c>
      <c r="D120" s="9">
        <v>2</v>
      </c>
      <c r="E120" s="9"/>
      <c r="F120" s="18" t="s">
        <v>17</v>
      </c>
      <c r="G120" s="18">
        <f>E122</f>
        <v>6</v>
      </c>
      <c r="H120" s="19"/>
    </row>
    <row r="121" spans="1:8" ht="42" customHeight="1" x14ac:dyDescent="0.5">
      <c r="A121" s="16"/>
      <c r="B121" s="17"/>
      <c r="C121" s="9" t="s">
        <v>166</v>
      </c>
      <c r="D121" s="9">
        <v>2</v>
      </c>
      <c r="E121" s="9"/>
      <c r="F121" s="18"/>
      <c r="G121" s="18"/>
      <c r="H121" s="19"/>
    </row>
    <row r="122" spans="1:8" ht="42" customHeight="1" x14ac:dyDescent="0.5">
      <c r="A122" s="16"/>
      <c r="B122" s="17"/>
      <c r="C122" s="9" t="s">
        <v>167</v>
      </c>
      <c r="D122" s="9">
        <v>2</v>
      </c>
      <c r="E122" s="9">
        <f>SUM(D120:D122)</f>
        <v>6</v>
      </c>
      <c r="F122" s="18"/>
      <c r="G122" s="18"/>
      <c r="H122" s="19"/>
    </row>
    <row r="123" spans="1:8" ht="42" customHeight="1" x14ac:dyDescent="0.5">
      <c r="A123" s="16">
        <v>46343</v>
      </c>
      <c r="B123" s="17" t="s">
        <v>168</v>
      </c>
      <c r="C123" s="9" t="s">
        <v>169</v>
      </c>
      <c r="D123" s="9">
        <v>2</v>
      </c>
      <c r="E123" s="9"/>
      <c r="F123" s="18" t="s">
        <v>17</v>
      </c>
      <c r="G123" s="18">
        <f>E125</f>
        <v>6</v>
      </c>
      <c r="H123" s="19"/>
    </row>
    <row r="124" spans="1:8" ht="42" customHeight="1" x14ac:dyDescent="0.5">
      <c r="A124" s="16"/>
      <c r="B124" s="17"/>
      <c r="C124" s="9" t="s">
        <v>170</v>
      </c>
      <c r="D124" s="9">
        <v>2</v>
      </c>
      <c r="E124" s="9"/>
      <c r="F124" s="18"/>
      <c r="G124" s="18"/>
      <c r="H124" s="19"/>
    </row>
    <row r="125" spans="1:8" ht="42" customHeight="1" x14ac:dyDescent="0.5">
      <c r="A125" s="16"/>
      <c r="B125" s="17"/>
      <c r="C125" s="9" t="s">
        <v>171</v>
      </c>
      <c r="D125" s="9">
        <v>2</v>
      </c>
      <c r="E125" s="9">
        <f>SUM(D123:D125)</f>
        <v>6</v>
      </c>
      <c r="F125" s="18"/>
      <c r="G125" s="18"/>
      <c r="H125" s="19"/>
    </row>
    <row r="126" spans="1:8" ht="42" customHeight="1" x14ac:dyDescent="0.5">
      <c r="A126" s="16">
        <v>46344</v>
      </c>
      <c r="B126" s="17" t="s">
        <v>172</v>
      </c>
      <c r="C126" s="9" t="s">
        <v>173</v>
      </c>
      <c r="D126" s="9">
        <v>2</v>
      </c>
      <c r="E126" s="9"/>
      <c r="F126" s="18" t="s">
        <v>17</v>
      </c>
      <c r="G126" s="18">
        <f>E128</f>
        <v>6</v>
      </c>
      <c r="H126" s="19"/>
    </row>
    <row r="127" spans="1:8" ht="42" customHeight="1" x14ac:dyDescent="0.5">
      <c r="A127" s="16"/>
      <c r="B127" s="17"/>
      <c r="C127" s="9" t="s">
        <v>174</v>
      </c>
      <c r="D127" s="9">
        <v>2</v>
      </c>
      <c r="E127" s="9"/>
      <c r="F127" s="18"/>
      <c r="G127" s="18"/>
      <c r="H127" s="19"/>
    </row>
    <row r="128" spans="1:8" ht="42" customHeight="1" x14ac:dyDescent="0.5">
      <c r="A128" s="16"/>
      <c r="B128" s="17"/>
      <c r="C128" s="9" t="s">
        <v>175</v>
      </c>
      <c r="D128" s="9">
        <v>2</v>
      </c>
      <c r="E128" s="9">
        <f>SUM(D126:D128)</f>
        <v>6</v>
      </c>
      <c r="F128" s="18"/>
      <c r="G128" s="18"/>
      <c r="H128" s="19"/>
    </row>
    <row r="129" spans="1:8" ht="42" customHeight="1" x14ac:dyDescent="0.5">
      <c r="A129" s="16">
        <v>46345</v>
      </c>
      <c r="B129" s="17" t="s">
        <v>176</v>
      </c>
      <c r="C129" s="9" t="s">
        <v>177</v>
      </c>
      <c r="D129" s="9">
        <v>2</v>
      </c>
      <c r="E129" s="9"/>
      <c r="F129" s="18" t="s">
        <v>17</v>
      </c>
      <c r="G129" s="18">
        <f>E131</f>
        <v>6</v>
      </c>
      <c r="H129" s="19"/>
    </row>
    <row r="130" spans="1:8" ht="42" customHeight="1" x14ac:dyDescent="0.5">
      <c r="A130" s="16"/>
      <c r="B130" s="17"/>
      <c r="C130" s="9" t="s">
        <v>178</v>
      </c>
      <c r="D130" s="9">
        <v>2</v>
      </c>
      <c r="E130" s="9"/>
      <c r="F130" s="18"/>
      <c r="G130" s="18"/>
      <c r="H130" s="19"/>
    </row>
    <row r="131" spans="1:8" ht="42" customHeight="1" x14ac:dyDescent="0.5">
      <c r="A131" s="16"/>
      <c r="B131" s="17"/>
      <c r="C131" s="9" t="s">
        <v>179</v>
      </c>
      <c r="D131" s="9">
        <v>2</v>
      </c>
      <c r="E131" s="9">
        <f>SUM(D129:D131)</f>
        <v>6</v>
      </c>
      <c r="F131" s="18"/>
      <c r="G131" s="18"/>
      <c r="H131" s="19"/>
    </row>
    <row r="132" spans="1:8" ht="42" customHeight="1" x14ac:dyDescent="0.5">
      <c r="A132" s="16">
        <v>46346</v>
      </c>
      <c r="B132" s="17" t="s">
        <v>180</v>
      </c>
      <c r="C132" s="9" t="s">
        <v>181</v>
      </c>
      <c r="D132" s="9">
        <v>2</v>
      </c>
      <c r="E132" s="9"/>
      <c r="F132" s="18" t="s">
        <v>17</v>
      </c>
      <c r="G132" s="18">
        <f>E134</f>
        <v>6</v>
      </c>
      <c r="H132" s="19"/>
    </row>
    <row r="133" spans="1:8" ht="42" customHeight="1" x14ac:dyDescent="0.5">
      <c r="A133" s="16"/>
      <c r="B133" s="17"/>
      <c r="C133" s="9" t="s">
        <v>182</v>
      </c>
      <c r="D133" s="9">
        <v>2</v>
      </c>
      <c r="E133" s="9"/>
      <c r="F133" s="18"/>
      <c r="G133" s="18"/>
      <c r="H133" s="19"/>
    </row>
    <row r="134" spans="1:8" ht="42" customHeight="1" x14ac:dyDescent="0.5">
      <c r="A134" s="16"/>
      <c r="B134" s="17"/>
      <c r="C134" s="9" t="s">
        <v>183</v>
      </c>
      <c r="D134" s="9">
        <v>2</v>
      </c>
      <c r="E134" s="9">
        <f>SUM(D132:D134)</f>
        <v>6</v>
      </c>
      <c r="F134" s="18"/>
      <c r="G134" s="18"/>
      <c r="H134" s="19"/>
    </row>
    <row r="135" spans="1:8" ht="42" customHeight="1" x14ac:dyDescent="0.5">
      <c r="A135" s="16">
        <v>46349</v>
      </c>
      <c r="B135" s="17" t="s">
        <v>184</v>
      </c>
      <c r="C135" s="9" t="s">
        <v>185</v>
      </c>
      <c r="D135" s="9">
        <v>2</v>
      </c>
      <c r="E135" s="9"/>
      <c r="F135" s="18" t="s">
        <v>17</v>
      </c>
      <c r="G135" s="18">
        <f>E137</f>
        <v>6</v>
      </c>
      <c r="H135" s="19"/>
    </row>
    <row r="136" spans="1:8" ht="42" customHeight="1" x14ac:dyDescent="0.5">
      <c r="A136" s="16"/>
      <c r="B136" s="17"/>
      <c r="C136" s="9" t="s">
        <v>186</v>
      </c>
      <c r="D136" s="9">
        <v>2</v>
      </c>
      <c r="E136" s="9"/>
      <c r="F136" s="18"/>
      <c r="G136" s="18"/>
      <c r="H136" s="19"/>
    </row>
    <row r="137" spans="1:8" ht="42" customHeight="1" x14ac:dyDescent="0.5">
      <c r="A137" s="16"/>
      <c r="B137" s="17"/>
      <c r="C137" s="9" t="s">
        <v>187</v>
      </c>
      <c r="D137" s="9">
        <v>2</v>
      </c>
      <c r="E137" s="9">
        <f>SUM(D135:D137)</f>
        <v>6</v>
      </c>
      <c r="F137" s="18"/>
      <c r="G137" s="18"/>
      <c r="H137" s="19"/>
    </row>
    <row r="138" spans="1:8" ht="42" customHeight="1" x14ac:dyDescent="0.5">
      <c r="A138" s="16">
        <v>46350</v>
      </c>
      <c r="B138" s="17" t="s">
        <v>188</v>
      </c>
      <c r="C138" s="9" t="s">
        <v>189</v>
      </c>
      <c r="D138" s="9">
        <v>2</v>
      </c>
      <c r="E138" s="9"/>
      <c r="F138" s="18" t="s">
        <v>17</v>
      </c>
      <c r="G138" s="18">
        <f>E140</f>
        <v>6</v>
      </c>
      <c r="H138" s="19"/>
    </row>
    <row r="139" spans="1:8" ht="42" customHeight="1" x14ac:dyDescent="0.5">
      <c r="A139" s="16"/>
      <c r="B139" s="17"/>
      <c r="C139" s="9" t="s">
        <v>190</v>
      </c>
      <c r="D139" s="9">
        <v>2</v>
      </c>
      <c r="E139" s="9"/>
      <c r="F139" s="18"/>
      <c r="G139" s="18"/>
      <c r="H139" s="19"/>
    </row>
    <row r="140" spans="1:8" ht="42" customHeight="1" x14ac:dyDescent="0.5">
      <c r="A140" s="16"/>
      <c r="B140" s="17"/>
      <c r="C140" s="9" t="s">
        <v>191</v>
      </c>
      <c r="D140" s="9">
        <v>2</v>
      </c>
      <c r="E140" s="9">
        <f>SUM(D138:D140)</f>
        <v>6</v>
      </c>
      <c r="F140" s="18"/>
      <c r="G140" s="18"/>
      <c r="H140" s="19"/>
    </row>
    <row r="141" spans="1:8" ht="42" customHeight="1" x14ac:dyDescent="0.5">
      <c r="A141" s="16">
        <v>46351</v>
      </c>
      <c r="B141" s="17" t="s">
        <v>192</v>
      </c>
      <c r="C141" s="9" t="s">
        <v>193</v>
      </c>
      <c r="D141" s="9">
        <v>2</v>
      </c>
      <c r="E141" s="9"/>
      <c r="F141" s="18" t="s">
        <v>17</v>
      </c>
      <c r="G141" s="18">
        <f>E143</f>
        <v>6</v>
      </c>
      <c r="H141" s="19"/>
    </row>
    <row r="142" spans="1:8" ht="42" customHeight="1" x14ac:dyDescent="0.5">
      <c r="A142" s="16"/>
      <c r="B142" s="17"/>
      <c r="C142" s="9" t="s">
        <v>194</v>
      </c>
      <c r="D142" s="9">
        <v>2</v>
      </c>
      <c r="E142" s="9"/>
      <c r="F142" s="18"/>
      <c r="G142" s="18"/>
      <c r="H142" s="19"/>
    </row>
    <row r="143" spans="1:8" ht="42" customHeight="1" x14ac:dyDescent="0.5">
      <c r="A143" s="16"/>
      <c r="B143" s="17"/>
      <c r="C143" s="9" t="s">
        <v>195</v>
      </c>
      <c r="D143" s="9">
        <v>2</v>
      </c>
      <c r="E143" s="9">
        <f>SUM(D141:D143)</f>
        <v>6</v>
      </c>
      <c r="F143" s="18"/>
      <c r="G143" s="18"/>
      <c r="H143" s="19"/>
    </row>
    <row r="144" spans="1:8" ht="42" customHeight="1" x14ac:dyDescent="0.5">
      <c r="A144" s="16">
        <v>46352</v>
      </c>
      <c r="B144" s="17" t="s">
        <v>196</v>
      </c>
      <c r="C144" s="9" t="s">
        <v>197</v>
      </c>
      <c r="D144" s="9">
        <v>2</v>
      </c>
      <c r="E144" s="9"/>
      <c r="F144" s="18" t="s">
        <v>17</v>
      </c>
      <c r="G144" s="18">
        <f>E146</f>
        <v>6</v>
      </c>
      <c r="H144" s="19"/>
    </row>
    <row r="145" spans="1:8" ht="42" customHeight="1" x14ac:dyDescent="0.5">
      <c r="A145" s="16"/>
      <c r="B145" s="17"/>
      <c r="C145" s="9" t="s">
        <v>198</v>
      </c>
      <c r="D145" s="9">
        <v>2</v>
      </c>
      <c r="E145" s="9"/>
      <c r="F145" s="18"/>
      <c r="G145" s="18"/>
      <c r="H145" s="19"/>
    </row>
    <row r="146" spans="1:8" ht="42" customHeight="1" x14ac:dyDescent="0.5">
      <c r="A146" s="16"/>
      <c r="B146" s="17"/>
      <c r="C146" s="9" t="s">
        <v>199</v>
      </c>
      <c r="D146" s="9">
        <v>2</v>
      </c>
      <c r="E146" s="9">
        <f>SUM(D144:D146)</f>
        <v>6</v>
      </c>
      <c r="F146" s="18"/>
      <c r="G146" s="18"/>
      <c r="H146" s="19"/>
    </row>
    <row r="147" spans="1:8" ht="42" customHeight="1" x14ac:dyDescent="0.5">
      <c r="A147" s="16">
        <v>46353</v>
      </c>
      <c r="B147" s="17" t="s">
        <v>200</v>
      </c>
      <c r="C147" s="9" t="s">
        <v>201</v>
      </c>
      <c r="D147" s="9">
        <v>2</v>
      </c>
      <c r="E147" s="9"/>
      <c r="F147" s="18" t="s">
        <v>17</v>
      </c>
      <c r="G147" s="18">
        <f>E149</f>
        <v>6</v>
      </c>
      <c r="H147" s="19"/>
    </row>
    <row r="148" spans="1:8" ht="42" customHeight="1" x14ac:dyDescent="0.5">
      <c r="A148" s="16"/>
      <c r="B148" s="17"/>
      <c r="C148" s="9" t="s">
        <v>202</v>
      </c>
      <c r="D148" s="9">
        <v>2</v>
      </c>
      <c r="E148" s="9"/>
      <c r="F148" s="18"/>
      <c r="G148" s="18"/>
      <c r="H148" s="19"/>
    </row>
    <row r="149" spans="1:8" ht="42" customHeight="1" x14ac:dyDescent="0.5">
      <c r="A149" s="16"/>
      <c r="B149" s="17"/>
      <c r="C149" s="9" t="s">
        <v>203</v>
      </c>
      <c r="D149" s="9">
        <v>2</v>
      </c>
      <c r="E149" s="9">
        <f>SUM(D147:D149)</f>
        <v>6</v>
      </c>
      <c r="F149" s="18"/>
      <c r="G149" s="18"/>
      <c r="H149" s="19"/>
    </row>
    <row r="150" spans="1:8" ht="42" customHeight="1" x14ac:dyDescent="0.5">
      <c r="A150" s="16">
        <v>46356</v>
      </c>
      <c r="B150" s="17" t="s">
        <v>204</v>
      </c>
      <c r="C150" s="9" t="s">
        <v>205</v>
      </c>
      <c r="D150" s="9">
        <v>2</v>
      </c>
      <c r="E150" s="9"/>
      <c r="F150" s="18" t="s">
        <v>17</v>
      </c>
      <c r="G150" s="18">
        <f>E152</f>
        <v>6</v>
      </c>
      <c r="H150" s="19"/>
    </row>
    <row r="151" spans="1:8" ht="42" customHeight="1" x14ac:dyDescent="0.5">
      <c r="A151" s="16"/>
      <c r="B151" s="17"/>
      <c r="C151" s="9" t="s">
        <v>206</v>
      </c>
      <c r="D151" s="9">
        <v>2</v>
      </c>
      <c r="E151" s="9"/>
      <c r="F151" s="18"/>
      <c r="G151" s="18"/>
      <c r="H151" s="19"/>
    </row>
    <row r="152" spans="1:8" ht="42" customHeight="1" x14ac:dyDescent="0.5">
      <c r="A152" s="16"/>
      <c r="B152" s="17"/>
      <c r="C152" s="9" t="s">
        <v>207</v>
      </c>
      <c r="D152" s="9">
        <v>2</v>
      </c>
      <c r="E152" s="9">
        <f>SUM(D150:D152)</f>
        <v>6</v>
      </c>
      <c r="F152" s="18"/>
      <c r="G152" s="18"/>
      <c r="H152" s="19"/>
    </row>
    <row r="153" spans="1:8" ht="42" customHeight="1" x14ac:dyDescent="0.5">
      <c r="A153" s="16">
        <v>46357</v>
      </c>
      <c r="B153" s="17" t="s">
        <v>208</v>
      </c>
      <c r="C153" s="9" t="s">
        <v>209</v>
      </c>
      <c r="D153" s="9">
        <v>2</v>
      </c>
      <c r="E153" s="9"/>
      <c r="F153" s="18" t="s">
        <v>17</v>
      </c>
      <c r="G153" s="18">
        <f>E155</f>
        <v>6</v>
      </c>
      <c r="H153" s="19"/>
    </row>
    <row r="154" spans="1:8" ht="42" customHeight="1" x14ac:dyDescent="0.5">
      <c r="A154" s="16"/>
      <c r="B154" s="17"/>
      <c r="C154" s="9" t="s">
        <v>210</v>
      </c>
      <c r="D154" s="9">
        <v>2</v>
      </c>
      <c r="E154" s="9"/>
      <c r="F154" s="18"/>
      <c r="G154" s="18"/>
      <c r="H154" s="19"/>
    </row>
    <row r="155" spans="1:8" ht="42" customHeight="1" x14ac:dyDescent="0.5">
      <c r="A155" s="16"/>
      <c r="B155" s="17"/>
      <c r="C155" s="9" t="s">
        <v>211</v>
      </c>
      <c r="D155" s="9">
        <v>2</v>
      </c>
      <c r="E155" s="9">
        <f>SUM(D153:D155)</f>
        <v>6</v>
      </c>
      <c r="F155" s="18"/>
      <c r="G155" s="18"/>
      <c r="H155" s="19"/>
    </row>
    <row r="156" spans="1:8" ht="42" customHeight="1" x14ac:dyDescent="0.5">
      <c r="A156" s="16">
        <v>46358</v>
      </c>
      <c r="B156" s="17" t="s">
        <v>212</v>
      </c>
      <c r="C156" s="9" t="s">
        <v>213</v>
      </c>
      <c r="D156" s="9">
        <v>2</v>
      </c>
      <c r="E156" s="9"/>
      <c r="F156" s="18" t="s">
        <v>17</v>
      </c>
      <c r="G156" s="18">
        <f>E158</f>
        <v>6</v>
      </c>
      <c r="H156" s="19"/>
    </row>
    <row r="157" spans="1:8" ht="42" customHeight="1" x14ac:dyDescent="0.5">
      <c r="A157" s="16"/>
      <c r="B157" s="17"/>
      <c r="C157" s="9" t="s">
        <v>214</v>
      </c>
      <c r="D157" s="9">
        <v>2</v>
      </c>
      <c r="E157" s="9"/>
      <c r="F157" s="18"/>
      <c r="G157" s="18"/>
      <c r="H157" s="19"/>
    </row>
    <row r="158" spans="1:8" ht="42" customHeight="1" x14ac:dyDescent="0.5">
      <c r="A158" s="16"/>
      <c r="B158" s="17"/>
      <c r="C158" s="9" t="s">
        <v>215</v>
      </c>
      <c r="D158" s="9">
        <v>2</v>
      </c>
      <c r="E158" s="9">
        <f>SUM(D156:D158)</f>
        <v>6</v>
      </c>
      <c r="F158" s="18"/>
      <c r="G158" s="18"/>
      <c r="H158" s="19"/>
    </row>
    <row r="159" spans="1:8" ht="42" customHeight="1" x14ac:dyDescent="0.5">
      <c r="A159" s="16">
        <v>46359</v>
      </c>
      <c r="B159" s="17" t="s">
        <v>216</v>
      </c>
      <c r="C159" s="9" t="s">
        <v>217</v>
      </c>
      <c r="D159" s="9">
        <v>2</v>
      </c>
      <c r="E159" s="9"/>
      <c r="F159" s="18" t="s">
        <v>17</v>
      </c>
      <c r="G159" s="18">
        <f>E161</f>
        <v>6</v>
      </c>
      <c r="H159" s="19"/>
    </row>
    <row r="160" spans="1:8" ht="42" customHeight="1" x14ac:dyDescent="0.5">
      <c r="A160" s="16"/>
      <c r="B160" s="17"/>
      <c r="C160" s="9" t="s">
        <v>218</v>
      </c>
      <c r="D160" s="9">
        <v>2</v>
      </c>
      <c r="E160" s="9"/>
      <c r="F160" s="18"/>
      <c r="G160" s="18"/>
      <c r="H160" s="19"/>
    </row>
    <row r="161" spans="1:8" ht="42" customHeight="1" x14ac:dyDescent="0.5">
      <c r="A161" s="16"/>
      <c r="B161" s="17"/>
      <c r="C161" s="9" t="s">
        <v>219</v>
      </c>
      <c r="D161" s="9">
        <v>2</v>
      </c>
      <c r="E161" s="9">
        <f>SUM(D159:D161)</f>
        <v>6</v>
      </c>
      <c r="F161" s="18"/>
      <c r="G161" s="18"/>
      <c r="H161" s="19"/>
    </row>
    <row r="162" spans="1:8" ht="42" customHeight="1" x14ac:dyDescent="0.5">
      <c r="A162" s="16">
        <v>46360</v>
      </c>
      <c r="B162" s="17" t="s">
        <v>220</v>
      </c>
      <c r="C162" s="9" t="s">
        <v>221</v>
      </c>
      <c r="D162" s="9">
        <v>2</v>
      </c>
      <c r="E162" s="9"/>
      <c r="F162" s="18" t="s">
        <v>17</v>
      </c>
      <c r="G162" s="18">
        <f>E164</f>
        <v>6</v>
      </c>
      <c r="H162" s="19"/>
    </row>
    <row r="163" spans="1:8" ht="42" customHeight="1" x14ac:dyDescent="0.5">
      <c r="A163" s="16"/>
      <c r="B163" s="17"/>
      <c r="C163" s="9" t="s">
        <v>222</v>
      </c>
      <c r="D163" s="9">
        <v>2</v>
      </c>
      <c r="E163" s="9"/>
      <c r="F163" s="18"/>
      <c r="G163" s="18"/>
      <c r="H163" s="19"/>
    </row>
    <row r="164" spans="1:8" ht="42" customHeight="1" x14ac:dyDescent="0.5">
      <c r="A164" s="16"/>
      <c r="B164" s="17"/>
      <c r="C164" s="9" t="s">
        <v>223</v>
      </c>
      <c r="D164" s="9">
        <v>2</v>
      </c>
      <c r="E164" s="9">
        <f>SUM(D162:D164)</f>
        <v>6</v>
      </c>
      <c r="F164" s="18"/>
      <c r="G164" s="18"/>
      <c r="H164" s="19"/>
    </row>
    <row r="165" spans="1:8" ht="42" customHeight="1" x14ac:dyDescent="0.5">
      <c r="A165" s="16">
        <v>46363</v>
      </c>
      <c r="B165" s="17" t="s">
        <v>224</v>
      </c>
      <c r="C165" s="9" t="s">
        <v>225</v>
      </c>
      <c r="D165" s="9">
        <v>2</v>
      </c>
      <c r="E165" s="9"/>
      <c r="F165" s="18" t="s">
        <v>17</v>
      </c>
      <c r="G165" s="18">
        <f>E167</f>
        <v>6</v>
      </c>
      <c r="H165" s="19"/>
    </row>
    <row r="166" spans="1:8" ht="42" customHeight="1" x14ac:dyDescent="0.5">
      <c r="A166" s="16"/>
      <c r="B166" s="17"/>
      <c r="C166" s="9" t="s">
        <v>226</v>
      </c>
      <c r="D166" s="9">
        <v>2</v>
      </c>
      <c r="E166" s="9"/>
      <c r="F166" s="18"/>
      <c r="G166" s="18"/>
      <c r="H166" s="19"/>
    </row>
    <row r="167" spans="1:8" ht="42" customHeight="1" x14ac:dyDescent="0.5">
      <c r="A167" s="16"/>
      <c r="B167" s="17"/>
      <c r="C167" s="9" t="s">
        <v>227</v>
      </c>
      <c r="D167" s="9">
        <v>2</v>
      </c>
      <c r="E167" s="9">
        <f>SUM(D165:D167)</f>
        <v>6</v>
      </c>
      <c r="F167" s="18"/>
      <c r="G167" s="18"/>
      <c r="H167" s="19"/>
    </row>
    <row r="168" spans="1:8" ht="42" customHeight="1" x14ac:dyDescent="0.5">
      <c r="A168" s="16">
        <v>46364</v>
      </c>
      <c r="B168" s="17" t="s">
        <v>228</v>
      </c>
      <c r="C168" s="9" t="s">
        <v>229</v>
      </c>
      <c r="D168" s="9">
        <v>2</v>
      </c>
      <c r="E168" s="9"/>
      <c r="F168" s="18" t="s">
        <v>17</v>
      </c>
      <c r="G168" s="18">
        <f>E170</f>
        <v>6</v>
      </c>
      <c r="H168" s="19"/>
    </row>
    <row r="169" spans="1:8" ht="42" customHeight="1" x14ac:dyDescent="0.5">
      <c r="A169" s="16"/>
      <c r="B169" s="17"/>
      <c r="C169" s="9" t="s">
        <v>230</v>
      </c>
      <c r="D169" s="9">
        <v>2</v>
      </c>
      <c r="E169" s="9"/>
      <c r="F169" s="18"/>
      <c r="G169" s="18"/>
      <c r="H169" s="19"/>
    </row>
    <row r="170" spans="1:8" ht="42" customHeight="1" x14ac:dyDescent="0.5">
      <c r="A170" s="16"/>
      <c r="B170" s="17"/>
      <c r="C170" s="9" t="s">
        <v>231</v>
      </c>
      <c r="D170" s="9">
        <v>2</v>
      </c>
      <c r="E170" s="9">
        <f>SUM(D168:D170)</f>
        <v>6</v>
      </c>
      <c r="F170" s="18"/>
      <c r="G170" s="18"/>
      <c r="H170" s="19"/>
    </row>
    <row r="171" spans="1:8" ht="42" customHeight="1" x14ac:dyDescent="0.5">
      <c r="A171" s="16">
        <v>46365</v>
      </c>
      <c r="B171" s="17" t="s">
        <v>232</v>
      </c>
      <c r="C171" s="9" t="s">
        <v>233</v>
      </c>
      <c r="D171" s="9">
        <v>2</v>
      </c>
      <c r="E171" s="9"/>
      <c r="F171" s="18" t="s">
        <v>17</v>
      </c>
      <c r="G171" s="18">
        <f>E173</f>
        <v>6</v>
      </c>
      <c r="H171" s="19"/>
    </row>
    <row r="172" spans="1:8" ht="42" customHeight="1" x14ac:dyDescent="0.5">
      <c r="A172" s="16"/>
      <c r="B172" s="17"/>
      <c r="C172" s="9" t="s">
        <v>234</v>
      </c>
      <c r="D172" s="9">
        <v>2</v>
      </c>
      <c r="E172" s="9"/>
      <c r="F172" s="18"/>
      <c r="G172" s="18"/>
      <c r="H172" s="19"/>
    </row>
    <row r="173" spans="1:8" ht="42" customHeight="1" x14ac:dyDescent="0.5">
      <c r="A173" s="16"/>
      <c r="B173" s="17"/>
      <c r="C173" s="9" t="s">
        <v>235</v>
      </c>
      <c r="D173" s="9">
        <v>2</v>
      </c>
      <c r="E173" s="9">
        <f>SUM(D171:D173)</f>
        <v>6</v>
      </c>
      <c r="F173" s="18"/>
      <c r="G173" s="18"/>
      <c r="H173" s="19"/>
    </row>
    <row r="174" spans="1:8" ht="42" customHeight="1" x14ac:dyDescent="0.5">
      <c r="A174" s="16">
        <v>46366</v>
      </c>
      <c r="B174" s="17" t="s">
        <v>236</v>
      </c>
      <c r="C174" s="9" t="s">
        <v>237</v>
      </c>
      <c r="D174" s="9">
        <v>2</v>
      </c>
      <c r="E174" s="9"/>
      <c r="F174" s="18" t="s">
        <v>17</v>
      </c>
      <c r="G174" s="18">
        <f>E176</f>
        <v>6</v>
      </c>
      <c r="H174" s="19"/>
    </row>
    <row r="175" spans="1:8" ht="42" customHeight="1" x14ac:dyDescent="0.5">
      <c r="A175" s="16"/>
      <c r="B175" s="17"/>
      <c r="C175" s="9" t="s">
        <v>238</v>
      </c>
      <c r="D175" s="9">
        <v>2</v>
      </c>
      <c r="E175" s="9"/>
      <c r="F175" s="18"/>
      <c r="G175" s="18"/>
      <c r="H175" s="19"/>
    </row>
    <row r="176" spans="1:8" ht="42" customHeight="1" x14ac:dyDescent="0.5">
      <c r="A176" s="16"/>
      <c r="B176" s="17"/>
      <c r="C176" s="9" t="s">
        <v>239</v>
      </c>
      <c r="D176" s="9">
        <v>2</v>
      </c>
      <c r="E176" s="9">
        <f>SUM(D174:D176)</f>
        <v>6</v>
      </c>
      <c r="F176" s="18"/>
      <c r="G176" s="18"/>
      <c r="H176" s="19"/>
    </row>
    <row r="177" spans="1:8" ht="42" customHeight="1" x14ac:dyDescent="0.5">
      <c r="A177" s="16">
        <v>46367</v>
      </c>
      <c r="B177" s="17" t="s">
        <v>240</v>
      </c>
      <c r="C177" s="9" t="s">
        <v>241</v>
      </c>
      <c r="D177" s="9">
        <v>2</v>
      </c>
      <c r="E177" s="9"/>
      <c r="F177" s="18" t="s">
        <v>17</v>
      </c>
      <c r="G177" s="18">
        <f>E179</f>
        <v>6</v>
      </c>
      <c r="H177" s="19"/>
    </row>
    <row r="178" spans="1:8" ht="42" customHeight="1" x14ac:dyDescent="0.5">
      <c r="A178" s="16"/>
      <c r="B178" s="17"/>
      <c r="C178" s="9" t="s">
        <v>242</v>
      </c>
      <c r="D178" s="9">
        <v>2</v>
      </c>
      <c r="E178" s="9"/>
      <c r="F178" s="18"/>
      <c r="G178" s="18"/>
      <c r="H178" s="19"/>
    </row>
    <row r="179" spans="1:8" ht="42" customHeight="1" x14ac:dyDescent="0.5">
      <c r="A179" s="16"/>
      <c r="B179" s="17"/>
      <c r="C179" s="9" t="s">
        <v>243</v>
      </c>
      <c r="D179" s="9">
        <v>2</v>
      </c>
      <c r="E179" s="9">
        <f>SUM(D177:D179)</f>
        <v>6</v>
      </c>
      <c r="F179" s="18"/>
      <c r="G179" s="18"/>
      <c r="H179" s="19"/>
    </row>
    <row r="180" spans="1:8" ht="42" customHeight="1" x14ac:dyDescent="0.5">
      <c r="A180" s="16">
        <v>46370</v>
      </c>
      <c r="B180" s="17" t="s">
        <v>244</v>
      </c>
      <c r="C180" s="9" t="s">
        <v>245</v>
      </c>
      <c r="D180" s="9">
        <v>2</v>
      </c>
      <c r="E180" s="9"/>
      <c r="F180" s="18" t="s">
        <v>17</v>
      </c>
      <c r="G180" s="18">
        <f>E182</f>
        <v>6</v>
      </c>
      <c r="H180" s="19"/>
    </row>
    <row r="181" spans="1:8" ht="42" customHeight="1" x14ac:dyDescent="0.5">
      <c r="A181" s="16"/>
      <c r="B181" s="17"/>
      <c r="C181" s="9" t="s">
        <v>246</v>
      </c>
      <c r="D181" s="9">
        <v>2</v>
      </c>
      <c r="E181" s="9"/>
      <c r="F181" s="18"/>
      <c r="G181" s="18"/>
      <c r="H181" s="19"/>
    </row>
    <row r="182" spans="1:8" ht="42" customHeight="1" x14ac:dyDescent="0.5">
      <c r="A182" s="16"/>
      <c r="B182" s="17"/>
      <c r="C182" s="9" t="s">
        <v>247</v>
      </c>
      <c r="D182" s="9">
        <v>2</v>
      </c>
      <c r="E182" s="9">
        <f>SUM(D180:D182)</f>
        <v>6</v>
      </c>
      <c r="F182" s="18"/>
      <c r="G182" s="18"/>
      <c r="H182" s="19"/>
    </row>
    <row r="183" spans="1:8" ht="42" customHeight="1" x14ac:dyDescent="0.5">
      <c r="A183" s="16">
        <v>46371</v>
      </c>
      <c r="B183" s="17" t="s">
        <v>248</v>
      </c>
      <c r="C183" s="9" t="s">
        <v>249</v>
      </c>
      <c r="D183" s="9">
        <v>2</v>
      </c>
      <c r="E183" s="9"/>
      <c r="F183" s="18" t="s">
        <v>17</v>
      </c>
      <c r="G183" s="18">
        <f>E185</f>
        <v>6</v>
      </c>
      <c r="H183" s="19"/>
    </row>
    <row r="184" spans="1:8" ht="42" customHeight="1" x14ac:dyDescent="0.5">
      <c r="A184" s="16"/>
      <c r="B184" s="17"/>
      <c r="C184" s="9" t="s">
        <v>250</v>
      </c>
      <c r="D184" s="9">
        <v>2</v>
      </c>
      <c r="E184" s="9"/>
      <c r="F184" s="18"/>
      <c r="G184" s="18"/>
      <c r="H184" s="19"/>
    </row>
    <row r="185" spans="1:8" ht="42" customHeight="1" x14ac:dyDescent="0.5">
      <c r="A185" s="16"/>
      <c r="B185" s="17"/>
      <c r="C185" s="9" t="s">
        <v>251</v>
      </c>
      <c r="D185" s="9">
        <v>2</v>
      </c>
      <c r="E185" s="9">
        <f>SUM(D183:D185)</f>
        <v>6</v>
      </c>
      <c r="F185" s="18"/>
      <c r="G185" s="18"/>
      <c r="H185" s="19"/>
    </row>
    <row r="186" spans="1:8" ht="42" customHeight="1" x14ac:dyDescent="0.5">
      <c r="A186" s="16">
        <v>46372</v>
      </c>
      <c r="B186" s="17" t="s">
        <v>252</v>
      </c>
      <c r="C186" s="9" t="s">
        <v>253</v>
      </c>
      <c r="D186" s="9">
        <v>2</v>
      </c>
      <c r="E186" s="9"/>
      <c r="F186" s="18" t="s">
        <v>17</v>
      </c>
      <c r="G186" s="18">
        <f>E188</f>
        <v>6</v>
      </c>
      <c r="H186" s="19"/>
    </row>
    <row r="187" spans="1:8" ht="42" customHeight="1" x14ac:dyDescent="0.5">
      <c r="A187" s="16"/>
      <c r="B187" s="17"/>
      <c r="C187" s="9" t="s">
        <v>254</v>
      </c>
      <c r="D187" s="9">
        <v>2</v>
      </c>
      <c r="E187" s="9"/>
      <c r="F187" s="18"/>
      <c r="G187" s="18"/>
      <c r="H187" s="19"/>
    </row>
    <row r="188" spans="1:8" ht="42" customHeight="1" x14ac:dyDescent="0.5">
      <c r="A188" s="16"/>
      <c r="B188" s="17"/>
      <c r="C188" s="9" t="s">
        <v>255</v>
      </c>
      <c r="D188" s="9">
        <v>2</v>
      </c>
      <c r="E188" s="9">
        <f>SUM(D186:D188)</f>
        <v>6</v>
      </c>
      <c r="F188" s="18"/>
      <c r="G188" s="18"/>
      <c r="H188" s="19"/>
    </row>
    <row r="189" spans="1:8" ht="42" customHeight="1" x14ac:dyDescent="0.5">
      <c r="A189" s="16">
        <v>46373</v>
      </c>
      <c r="B189" s="17" t="s">
        <v>256</v>
      </c>
      <c r="C189" s="9" t="s">
        <v>257</v>
      </c>
      <c r="D189" s="9">
        <v>2</v>
      </c>
      <c r="E189" s="9"/>
      <c r="F189" s="18" t="s">
        <v>17</v>
      </c>
      <c r="G189" s="18">
        <f>E191</f>
        <v>6</v>
      </c>
      <c r="H189" s="19"/>
    </row>
    <row r="190" spans="1:8" ht="42" customHeight="1" x14ac:dyDescent="0.5">
      <c r="A190" s="16"/>
      <c r="B190" s="17"/>
      <c r="C190" s="9" t="s">
        <v>258</v>
      </c>
      <c r="D190" s="9">
        <v>2</v>
      </c>
      <c r="E190" s="9"/>
      <c r="F190" s="18"/>
      <c r="G190" s="18"/>
      <c r="H190" s="19"/>
    </row>
    <row r="191" spans="1:8" ht="42" customHeight="1" x14ac:dyDescent="0.5">
      <c r="A191" s="16"/>
      <c r="B191" s="17"/>
      <c r="C191" s="9" t="s">
        <v>259</v>
      </c>
      <c r="D191" s="9">
        <v>2</v>
      </c>
      <c r="E191" s="9">
        <f>SUM(D189:D191)</f>
        <v>6</v>
      </c>
      <c r="F191" s="18"/>
      <c r="G191" s="18"/>
      <c r="H191" s="19"/>
    </row>
    <row r="192" spans="1:8" ht="42" customHeight="1" x14ac:dyDescent="0.5">
      <c r="A192" s="16">
        <v>46374</v>
      </c>
      <c r="B192" s="17" t="s">
        <v>260</v>
      </c>
      <c r="C192" s="9" t="s">
        <v>261</v>
      </c>
      <c r="D192" s="9">
        <v>2</v>
      </c>
      <c r="E192" s="9"/>
      <c r="F192" s="18" t="s">
        <v>17</v>
      </c>
      <c r="G192" s="18">
        <f>E194</f>
        <v>6</v>
      </c>
      <c r="H192" s="19"/>
    </row>
    <row r="193" spans="1:8" ht="42" customHeight="1" x14ac:dyDescent="0.5">
      <c r="A193" s="16"/>
      <c r="B193" s="17"/>
      <c r="C193" s="9" t="s">
        <v>262</v>
      </c>
      <c r="D193" s="9">
        <v>2</v>
      </c>
      <c r="E193" s="9"/>
      <c r="F193" s="18"/>
      <c r="G193" s="18"/>
      <c r="H193" s="19"/>
    </row>
    <row r="194" spans="1:8" ht="42" customHeight="1" x14ac:dyDescent="0.5">
      <c r="A194" s="16"/>
      <c r="B194" s="17"/>
      <c r="C194" s="9" t="s">
        <v>263</v>
      </c>
      <c r="D194" s="9">
        <v>2</v>
      </c>
      <c r="E194" s="9">
        <f>SUM(D192:D194)</f>
        <v>6</v>
      </c>
      <c r="F194" s="18"/>
      <c r="G194" s="18"/>
      <c r="H194" s="19"/>
    </row>
    <row r="200" spans="1:8" ht="38" customHeight="1" x14ac:dyDescent="0.5">
      <c r="D200" s="10" t="s">
        <v>264</v>
      </c>
      <c r="E200" s="11">
        <f>SUM(E9:E194)</f>
        <v>372</v>
      </c>
      <c r="F200" s="10" t="s">
        <v>265</v>
      </c>
      <c r="G200" s="11">
        <f>SUM(G9:G194)</f>
        <v>372</v>
      </c>
    </row>
    <row r="202" spans="1:8" ht="24" customHeight="1" x14ac:dyDescent="0.5">
      <c r="A202" s="12" t="s">
        <v>266</v>
      </c>
      <c r="B202" s="13"/>
      <c r="C202" s="14"/>
      <c r="D202" s="14"/>
      <c r="E202" s="15"/>
      <c r="F202" s="14"/>
      <c r="G202" s="12"/>
      <c r="H202" s="13"/>
    </row>
    <row r="203" spans="1:8" ht="24" customHeight="1" x14ac:dyDescent="0.5">
      <c r="A203" s="12" t="s">
        <v>267</v>
      </c>
      <c r="B203" s="13"/>
      <c r="C203" s="14"/>
      <c r="D203" s="14"/>
      <c r="E203" s="15"/>
      <c r="F203" s="14"/>
      <c r="G203" s="12"/>
      <c r="H203" s="13"/>
    </row>
  </sheetData>
  <mergeCells count="313">
    <mergeCell ref="A12:A14"/>
    <mergeCell ref="B12:B14"/>
    <mergeCell ref="F12:F14"/>
    <mergeCell ref="G12:G14"/>
    <mergeCell ref="H12:H14"/>
    <mergeCell ref="B1:H1"/>
    <mergeCell ref="A9:A11"/>
    <mergeCell ref="B9:B11"/>
    <mergeCell ref="F9:F11"/>
    <mergeCell ref="G9:G11"/>
    <mergeCell ref="H9:H11"/>
    <mergeCell ref="A18:A20"/>
    <mergeCell ref="B18:B20"/>
    <mergeCell ref="F18:F20"/>
    <mergeCell ref="G18:G20"/>
    <mergeCell ref="H18:H20"/>
    <mergeCell ref="A15:A17"/>
    <mergeCell ref="B15:B17"/>
    <mergeCell ref="F15:F17"/>
    <mergeCell ref="G15:G17"/>
    <mergeCell ref="H15:H17"/>
    <mergeCell ref="A24:A26"/>
    <mergeCell ref="B24:B26"/>
    <mergeCell ref="F24:F26"/>
    <mergeCell ref="G24:G26"/>
    <mergeCell ref="H24:H26"/>
    <mergeCell ref="A21:A23"/>
    <mergeCell ref="B21:B23"/>
    <mergeCell ref="F21:F23"/>
    <mergeCell ref="G21:G23"/>
    <mergeCell ref="H21:H23"/>
    <mergeCell ref="A30:A32"/>
    <mergeCell ref="B30:B32"/>
    <mergeCell ref="F30:F32"/>
    <mergeCell ref="G30:G32"/>
    <mergeCell ref="H30:H32"/>
    <mergeCell ref="A27:A29"/>
    <mergeCell ref="B27:B29"/>
    <mergeCell ref="F27:F29"/>
    <mergeCell ref="G27:G29"/>
    <mergeCell ref="H27:H29"/>
    <mergeCell ref="A36:A38"/>
    <mergeCell ref="B36:B38"/>
    <mergeCell ref="F36:F38"/>
    <mergeCell ref="G36:G38"/>
    <mergeCell ref="H36:H38"/>
    <mergeCell ref="A33:A35"/>
    <mergeCell ref="B33:B35"/>
    <mergeCell ref="F33:F35"/>
    <mergeCell ref="G33:G35"/>
    <mergeCell ref="H33:H35"/>
    <mergeCell ref="A42:A44"/>
    <mergeCell ref="B42:B44"/>
    <mergeCell ref="F42:F44"/>
    <mergeCell ref="G42:G44"/>
    <mergeCell ref="H42:H44"/>
    <mergeCell ref="A39:A41"/>
    <mergeCell ref="B39:B41"/>
    <mergeCell ref="F39:F41"/>
    <mergeCell ref="G39:G41"/>
    <mergeCell ref="H39:H41"/>
    <mergeCell ref="A48:A50"/>
    <mergeCell ref="B48:B50"/>
    <mergeCell ref="F48:F50"/>
    <mergeCell ref="G48:G50"/>
    <mergeCell ref="H48:H50"/>
    <mergeCell ref="A45:A47"/>
    <mergeCell ref="B45:B47"/>
    <mergeCell ref="F45:F47"/>
    <mergeCell ref="G45:G47"/>
    <mergeCell ref="H45:H47"/>
    <mergeCell ref="A54:A56"/>
    <mergeCell ref="B54:B56"/>
    <mergeCell ref="F54:F56"/>
    <mergeCell ref="G54:G56"/>
    <mergeCell ref="H54:H56"/>
    <mergeCell ref="A51:A53"/>
    <mergeCell ref="B51:B53"/>
    <mergeCell ref="F51:F53"/>
    <mergeCell ref="G51:G53"/>
    <mergeCell ref="H51:H53"/>
    <mergeCell ref="A60:A62"/>
    <mergeCell ref="B60:B62"/>
    <mergeCell ref="F60:F62"/>
    <mergeCell ref="G60:G62"/>
    <mergeCell ref="H60:H62"/>
    <mergeCell ref="A57:A59"/>
    <mergeCell ref="B57:B59"/>
    <mergeCell ref="F57:F59"/>
    <mergeCell ref="G57:G59"/>
    <mergeCell ref="H57:H59"/>
    <mergeCell ref="A66:A68"/>
    <mergeCell ref="B66:B68"/>
    <mergeCell ref="F66:F68"/>
    <mergeCell ref="G66:G68"/>
    <mergeCell ref="H66:H68"/>
    <mergeCell ref="A63:A65"/>
    <mergeCell ref="B63:B65"/>
    <mergeCell ref="F63:F65"/>
    <mergeCell ref="G63:G65"/>
    <mergeCell ref="H63:H65"/>
    <mergeCell ref="A72:A74"/>
    <mergeCell ref="B72:B74"/>
    <mergeCell ref="F72:F74"/>
    <mergeCell ref="G72:G74"/>
    <mergeCell ref="H72:H74"/>
    <mergeCell ref="A69:A71"/>
    <mergeCell ref="B69:B71"/>
    <mergeCell ref="F69:F71"/>
    <mergeCell ref="G69:G71"/>
    <mergeCell ref="H69:H71"/>
    <mergeCell ref="A78:A80"/>
    <mergeCell ref="B78:B80"/>
    <mergeCell ref="F78:F80"/>
    <mergeCell ref="G78:G80"/>
    <mergeCell ref="H78:H80"/>
    <mergeCell ref="A75:A77"/>
    <mergeCell ref="B75:B77"/>
    <mergeCell ref="F75:F77"/>
    <mergeCell ref="G75:G77"/>
    <mergeCell ref="H75:H77"/>
    <mergeCell ref="A84:A86"/>
    <mergeCell ref="B84:B86"/>
    <mergeCell ref="F84:F86"/>
    <mergeCell ref="G84:G86"/>
    <mergeCell ref="H84:H86"/>
    <mergeCell ref="A81:A83"/>
    <mergeCell ref="B81:B83"/>
    <mergeCell ref="F81:F83"/>
    <mergeCell ref="G81:G83"/>
    <mergeCell ref="H81:H83"/>
    <mergeCell ref="A90:A92"/>
    <mergeCell ref="B90:B92"/>
    <mergeCell ref="F90:F92"/>
    <mergeCell ref="G90:G92"/>
    <mergeCell ref="H90:H92"/>
    <mergeCell ref="A87:A89"/>
    <mergeCell ref="B87:B89"/>
    <mergeCell ref="F87:F89"/>
    <mergeCell ref="G87:G89"/>
    <mergeCell ref="H87:H89"/>
    <mergeCell ref="A96:A98"/>
    <mergeCell ref="B96:B98"/>
    <mergeCell ref="F96:F98"/>
    <mergeCell ref="G96:G98"/>
    <mergeCell ref="H96:H98"/>
    <mergeCell ref="A93:A95"/>
    <mergeCell ref="B93:B95"/>
    <mergeCell ref="F93:F95"/>
    <mergeCell ref="G93:G95"/>
    <mergeCell ref="H93:H95"/>
    <mergeCell ref="A102:A104"/>
    <mergeCell ref="B102:B104"/>
    <mergeCell ref="F102:F104"/>
    <mergeCell ref="G102:G104"/>
    <mergeCell ref="H102:H104"/>
    <mergeCell ref="A99:A101"/>
    <mergeCell ref="B99:B101"/>
    <mergeCell ref="F99:F101"/>
    <mergeCell ref="G99:G101"/>
    <mergeCell ref="H99:H101"/>
    <mergeCell ref="A108:A110"/>
    <mergeCell ref="B108:B110"/>
    <mergeCell ref="F108:F110"/>
    <mergeCell ref="G108:G110"/>
    <mergeCell ref="H108:H110"/>
    <mergeCell ref="A105:A107"/>
    <mergeCell ref="B105:B107"/>
    <mergeCell ref="F105:F107"/>
    <mergeCell ref="G105:G107"/>
    <mergeCell ref="H105:H107"/>
    <mergeCell ref="A114:A116"/>
    <mergeCell ref="B114:B116"/>
    <mergeCell ref="F114:F116"/>
    <mergeCell ref="G114:G116"/>
    <mergeCell ref="H114:H116"/>
    <mergeCell ref="A111:A113"/>
    <mergeCell ref="B111:B113"/>
    <mergeCell ref="F111:F113"/>
    <mergeCell ref="G111:G113"/>
    <mergeCell ref="H111:H113"/>
    <mergeCell ref="A120:A122"/>
    <mergeCell ref="B120:B122"/>
    <mergeCell ref="F120:F122"/>
    <mergeCell ref="G120:G122"/>
    <mergeCell ref="H120:H122"/>
    <mergeCell ref="A117:A119"/>
    <mergeCell ref="B117:B119"/>
    <mergeCell ref="F117:F119"/>
    <mergeCell ref="G117:G119"/>
    <mergeCell ref="H117:H119"/>
    <mergeCell ref="A126:A128"/>
    <mergeCell ref="B126:B128"/>
    <mergeCell ref="F126:F128"/>
    <mergeCell ref="G126:G128"/>
    <mergeCell ref="H126:H128"/>
    <mergeCell ref="A123:A125"/>
    <mergeCell ref="B123:B125"/>
    <mergeCell ref="F123:F125"/>
    <mergeCell ref="G123:G125"/>
    <mergeCell ref="H123:H125"/>
    <mergeCell ref="A132:A134"/>
    <mergeCell ref="B132:B134"/>
    <mergeCell ref="F132:F134"/>
    <mergeCell ref="G132:G134"/>
    <mergeCell ref="H132:H134"/>
    <mergeCell ref="A129:A131"/>
    <mergeCell ref="B129:B131"/>
    <mergeCell ref="F129:F131"/>
    <mergeCell ref="G129:G131"/>
    <mergeCell ref="H129:H131"/>
    <mergeCell ref="A138:A140"/>
    <mergeCell ref="B138:B140"/>
    <mergeCell ref="F138:F140"/>
    <mergeCell ref="G138:G140"/>
    <mergeCell ref="H138:H140"/>
    <mergeCell ref="A135:A137"/>
    <mergeCell ref="B135:B137"/>
    <mergeCell ref="F135:F137"/>
    <mergeCell ref="G135:G137"/>
    <mergeCell ref="H135:H137"/>
    <mergeCell ref="A144:A146"/>
    <mergeCell ref="B144:B146"/>
    <mergeCell ref="F144:F146"/>
    <mergeCell ref="G144:G146"/>
    <mergeCell ref="H144:H146"/>
    <mergeCell ref="A141:A143"/>
    <mergeCell ref="B141:B143"/>
    <mergeCell ref="F141:F143"/>
    <mergeCell ref="G141:G143"/>
    <mergeCell ref="H141:H143"/>
    <mergeCell ref="A150:A152"/>
    <mergeCell ref="B150:B152"/>
    <mergeCell ref="F150:F152"/>
    <mergeCell ref="G150:G152"/>
    <mergeCell ref="H150:H152"/>
    <mergeCell ref="A147:A149"/>
    <mergeCell ref="B147:B149"/>
    <mergeCell ref="F147:F149"/>
    <mergeCell ref="G147:G149"/>
    <mergeCell ref="H147:H149"/>
    <mergeCell ref="A156:A158"/>
    <mergeCell ref="B156:B158"/>
    <mergeCell ref="F156:F158"/>
    <mergeCell ref="G156:G158"/>
    <mergeCell ref="H156:H158"/>
    <mergeCell ref="A153:A155"/>
    <mergeCell ref="B153:B155"/>
    <mergeCell ref="F153:F155"/>
    <mergeCell ref="G153:G155"/>
    <mergeCell ref="H153:H155"/>
    <mergeCell ref="A162:A164"/>
    <mergeCell ref="B162:B164"/>
    <mergeCell ref="F162:F164"/>
    <mergeCell ref="G162:G164"/>
    <mergeCell ref="H162:H164"/>
    <mergeCell ref="A159:A161"/>
    <mergeCell ref="B159:B161"/>
    <mergeCell ref="F159:F161"/>
    <mergeCell ref="G159:G161"/>
    <mergeCell ref="H159:H161"/>
    <mergeCell ref="A168:A170"/>
    <mergeCell ref="B168:B170"/>
    <mergeCell ref="F168:F170"/>
    <mergeCell ref="G168:G170"/>
    <mergeCell ref="H168:H170"/>
    <mergeCell ref="A165:A167"/>
    <mergeCell ref="B165:B167"/>
    <mergeCell ref="F165:F167"/>
    <mergeCell ref="G165:G167"/>
    <mergeCell ref="H165:H167"/>
    <mergeCell ref="A174:A176"/>
    <mergeCell ref="B174:B176"/>
    <mergeCell ref="F174:F176"/>
    <mergeCell ref="G174:G176"/>
    <mergeCell ref="H174:H176"/>
    <mergeCell ref="A171:A173"/>
    <mergeCell ref="B171:B173"/>
    <mergeCell ref="F171:F173"/>
    <mergeCell ref="G171:G173"/>
    <mergeCell ref="H171:H173"/>
    <mergeCell ref="A180:A182"/>
    <mergeCell ref="B180:B182"/>
    <mergeCell ref="F180:F182"/>
    <mergeCell ref="G180:G182"/>
    <mergeCell ref="H180:H182"/>
    <mergeCell ref="A177:A179"/>
    <mergeCell ref="B177:B179"/>
    <mergeCell ref="F177:F179"/>
    <mergeCell ref="G177:G179"/>
    <mergeCell ref="H177:H179"/>
    <mergeCell ref="A186:A188"/>
    <mergeCell ref="B186:B188"/>
    <mergeCell ref="F186:F188"/>
    <mergeCell ref="G186:G188"/>
    <mergeCell ref="H186:H188"/>
    <mergeCell ref="A183:A185"/>
    <mergeCell ref="B183:B185"/>
    <mergeCell ref="F183:F185"/>
    <mergeCell ref="G183:G185"/>
    <mergeCell ref="H183:H185"/>
    <mergeCell ref="A202:H202"/>
    <mergeCell ref="A203:H203"/>
    <mergeCell ref="A192:A194"/>
    <mergeCell ref="B192:B194"/>
    <mergeCell ref="F192:F194"/>
    <mergeCell ref="G192:G194"/>
    <mergeCell ref="H192:H194"/>
    <mergeCell ref="A189:A191"/>
    <mergeCell ref="B189:B191"/>
    <mergeCell ref="F189:F191"/>
    <mergeCell ref="G189:G191"/>
    <mergeCell ref="H189:H19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Pilaguano</cp:lastModifiedBy>
  <dcterms:modified xsi:type="dcterms:W3CDTF">2026-10-20T16:14:20Z</dcterms:modified>
</cp:coreProperties>
</file>