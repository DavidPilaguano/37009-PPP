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lusm\Desktop\PPP\37009-PPP\Evidencias\"/>
    </mc:Choice>
  </mc:AlternateContent>
  <xr:revisionPtr revIDLastSave="0" documentId="8_{A791BA56-F465-4ACA-A8DE-B7EA6EE2218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rotocolo" sheetId="1" r:id="rId1"/>
    <sheet name="Cadenas_de_busqueda" sheetId="2" r:id="rId2"/>
    <sheet name="Base_consolidada" sheetId="3" r:id="rId3"/>
    <sheet name="Duplicados_y_exclusion" sheetId="4" r:id="rId4"/>
    <sheet name="Tamizaje_Tit_Abs_Keys" sheetId="5" r:id="rId5"/>
    <sheet name="Calidad_articulos" sheetId="6" r:id="rId6"/>
    <sheet name="Articulos_finales" sheetId="7" r:id="rId7"/>
    <sheet name="Articulos_finales_ok" sheetId="8" r:id="rId8"/>
    <sheet name="Resumen_ejecutivo" sheetId="9" r:id="rId9"/>
  </sheets>
  <definedNames>
    <definedName name="_xlnm._FilterDatabase" localSheetId="6" hidden="1">Articulos_finales!$A$3:$R$15</definedName>
    <definedName name="_xlnm._FilterDatabase" localSheetId="7" hidden="1">Articulos_finales_ok!$A$1:$F$6</definedName>
    <definedName name="_xlnm._FilterDatabase" localSheetId="2" hidden="1">Base_consolidada!$A$3:$L$15</definedName>
    <definedName name="_xlnm._FilterDatabase" localSheetId="1" hidden="1">Cadenas_de_busqueda!$A$4:$I$14</definedName>
    <definedName name="_xlnm._FilterDatabase" localSheetId="5" hidden="1">Calidad_articulos!$A$3:$P$15</definedName>
    <definedName name="_xlnm._FilterDatabase" localSheetId="3" hidden="1">Duplicados_y_exclusion!$A$4:$J$16</definedName>
    <definedName name="_xlnm._FilterDatabase" localSheetId="4" hidden="1">Tamizaje_Tit_Abs_Keys!$A$4:$N$16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6" l="1"/>
  <c r="O15" i="6" s="1"/>
  <c r="N14" i="6"/>
  <c r="O14" i="6" s="1"/>
  <c r="N13" i="6"/>
  <c r="O13" i="6" s="1"/>
  <c r="N12" i="6"/>
  <c r="O12" i="6" s="1"/>
  <c r="N11" i="6"/>
  <c r="O11" i="6" s="1"/>
  <c r="N10" i="6"/>
  <c r="O10" i="6" s="1"/>
  <c r="N9" i="6"/>
  <c r="O9" i="6" s="1"/>
  <c r="N8" i="6"/>
  <c r="O8" i="6" s="1"/>
  <c r="N7" i="6"/>
  <c r="O7" i="6" s="1"/>
  <c r="N6" i="6"/>
  <c r="O6" i="6" s="1"/>
  <c r="N5" i="6"/>
  <c r="O5" i="6" s="1"/>
  <c r="N4" i="6"/>
  <c r="O4" i="6" s="1"/>
  <c r="H8" i="9"/>
  <c r="G8" i="9"/>
  <c r="F8" i="9"/>
  <c r="B8" i="9"/>
  <c r="H7" i="9"/>
  <c r="G7" i="9"/>
  <c r="F7" i="9"/>
  <c r="B7" i="9"/>
  <c r="H6" i="9"/>
  <c r="G6" i="9"/>
  <c r="F6" i="9"/>
  <c r="B6" i="9"/>
  <c r="H5" i="9"/>
  <c r="G5" i="9"/>
  <c r="F5" i="9"/>
  <c r="B5" i="9"/>
  <c r="H4" i="9"/>
  <c r="G4" i="9"/>
  <c r="F4" i="9"/>
  <c r="B4" i="9"/>
  <c r="J4" i="9" l="1"/>
  <c r="B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Protocolo SLR</author>
  </authors>
  <commentList>
    <comment ref="D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Q1: El objetivo o pregunta del estudio está claramente definido.
0 = no cumple | 1 = parcial | 2 = cumple bien</t>
        </r>
      </text>
    </comment>
    <comment ref="E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Q2: Identifica el patógeno a nivel de especie (o al menos género) de forma clara.
0 = no cumple | 1 = parcial | 2 = cumple bien</t>
        </r>
      </text>
    </comment>
    <comment ref="F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Q3: Describe la enfermedad y los síntomas en el TALLO/tronco con claridad.
0 = no cumple | 1 = parcial | 2 = cumple bien</t>
        </r>
      </text>
    </comment>
    <comment ref="G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Q4: Se realiza sobre aguacate (Persea americana) o es claramente extrapolable a él.
0 = no cumple | 1 = parcial | 2 = cumple bien</t>
        </r>
      </text>
    </comment>
    <comment ref="H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Q5: La metodología (muestreo, aislamiento, identificación/diagnóstico) está descrita y es replicable.
0 = no cumple | 1 = parcial | 2 = cumple bien</t>
        </r>
      </text>
    </comment>
    <comment ref="I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Q6: Aporta evidencia que respalda las conclusiones (imágenes, mediciones, laboratorio, secuencias).
0 = no cumple | 1 = parcial | 2 = cumple bien</t>
        </r>
      </text>
    </comment>
    <comment ref="J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Q7: Menciona métodos de detección/diagnóstico (visual, molecular, imagen o IA) útiles para la app.
0 = no cumple | 1 = parcial | 2 = cumple bien</t>
        </r>
      </text>
    </comment>
    <comment ref="K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Q8: Indica el contexto geográfico/región (mundial o Latinoamérica) y las condiciones.
0 = no cumple | 1 = parcial | 2 = cumple bien</t>
        </r>
      </text>
    </comment>
    <comment ref="L3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Q9: Resultados y conclusiones claros y coherentes con los datos presentados.
0 = no cumple | 1 = parcial | 2 = cumple bien</t>
        </r>
      </text>
    </comment>
    <comment ref="M3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Q10: Fuente confiable y actual (revista revisada por pares, citable, año dentro del rango).
0 = no cumple | 1 = parcial | 2 = cumple bien</t>
        </r>
      </text>
    </comment>
    <comment ref="N3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Puntaje total = suma de Q1..Q10 (0 a 20). Se calcula solo.</t>
        </r>
      </text>
    </comment>
    <comment ref="O3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Nivel = Alta (16-20) / Media (11-15) / Baja (&lt;=10). Se calcula solo.</t>
        </r>
      </text>
    </comment>
  </commentList>
</comments>
</file>

<file path=xl/sharedStrings.xml><?xml version="1.0" encoding="utf-8"?>
<sst xmlns="http://schemas.openxmlformats.org/spreadsheetml/2006/main" count="960" uniqueCount="387">
  <si>
    <t>Resumen_ejecutivo</t>
  </si>
  <si>
    <t>Resumen adaptado al trabajo sobre detección de enfermedades y plagas foliares del aguacate con IA, visión por computador y posible app móvil.</t>
  </si>
  <si>
    <t>Métrica</t>
  </si>
  <si>
    <t>Valor</t>
  </si>
  <si>
    <t>Definición</t>
  </si>
  <si>
    <t>Base de datos</t>
  </si>
  <si>
    <t>Seleccionados</t>
  </si>
  <si>
    <t>Incluir</t>
  </si>
  <si>
    <t>Reserva</t>
  </si>
  <si>
    <t>Duplicados y revisiones</t>
  </si>
  <si>
    <t>Número total de artículos analizados</t>
  </si>
  <si>
    <t>Total consolidado de registros importados.</t>
  </si>
  <si>
    <t>Scopus</t>
  </si>
  <si>
    <t>Número de duplicados encontrados</t>
  </si>
  <si>
    <t>Registros repetidos respecto al estudio preferente.</t>
  </si>
  <si>
    <t>IEEE Xplore</t>
  </si>
  <si>
    <t>Número de revisiones/surveys/mapping/meta-análisis excluidos</t>
  </si>
  <si>
    <t>Exclusiones por ser estudios de revisión.</t>
  </si>
  <si>
    <t>Web of Science</t>
  </si>
  <si>
    <t>Número de estudios primarios detectados</t>
  </si>
  <si>
    <t>Detección automática por título/abstract/keywords disponibles.</t>
  </si>
  <si>
    <t>Springer</t>
  </si>
  <si>
    <t>Número de artículos que pasaron el tamizaje</t>
  </si>
  <si>
    <t>Registros mantenidos con alineación media o alta.</t>
  </si>
  <si>
    <t>Science Direct</t>
  </si>
  <si>
    <t>Número de artículos de alta calidad</t>
  </si>
  <si>
    <t>Artículos con 16 a 20 puntos.</t>
  </si>
  <si>
    <t>Tema adaptado</t>
  </si>
  <si>
    <t>Hojas de aguacate, enfermedades/plagas foliares, IA, visión por computador, UAV y app móvil.</t>
  </si>
  <si>
    <t>Artículos incluidos o en reserva en la selección final.</t>
  </si>
  <si>
    <t>Principales patrones encontrados</t>
  </si>
  <si>
    <t>(Completa al final: principales patrones que encontraste en los artículos.)</t>
  </si>
  <si>
    <t>Principales técnicas de IA identificadas</t>
  </si>
  <si>
    <t>(Completa: principales grupos/patógenos y métodos de detección identificados.)</t>
  </si>
  <si>
    <t>Principales enfoques de HCI/UX identificados</t>
  </si>
  <si>
    <t>(Completa: principales síntomas/enfermedades del tallo identificados.)</t>
  </si>
  <si>
    <t>Vacíos detectados en la literatura</t>
  </si>
  <si>
    <t>(Completa: vacíos que detectaste en la literatura.)</t>
  </si>
  <si>
    <t>Recomendación final</t>
  </si>
  <si>
    <t>(Completa: tu recomendación final.)</t>
  </si>
  <si>
    <t>PROTOCOLO DE LA REVISIÓN SISTEMÁTICA DE LITERATURA</t>
  </si>
  <si>
    <t>Paso 0 — Reglas definidas ANTES de filtrar. Este es el 'plan de vuelo': ajusta cada campo a tu proyecto.</t>
  </si>
  <si>
    <t>1. Tema / Proyecto</t>
  </si>
  <si>
    <t>Integración de inteligencia artificial en una aplicación móvil para la detección de enfermedades y plagas foliares del aguacate (Persea americana).</t>
  </si>
  <si>
    <t>2. Pregunta de investigación</t>
  </si>
  <si>
    <t>¿Qué enfermedades y plagas afectan las hojas del aguacate (Persea americana), qué síntomas visuales producen y qué métodos de inteligencia artificial, visión por computador o imágenes UAV se han utilizado o pueden adaptarse para su detección?</t>
  </si>
  <si>
    <t>3. Objetivo de esta SLR</t>
  </si>
  <si>
    <t>Reunir y sintetizar evidencia científica sobre enfermedades y plagas foliares del aguacate y sobre métodos de detección automatizada que sirvan como base para un sistema de IA o aplicación móvil.</t>
  </si>
  <si>
    <t>4. Criterios de INCLUSIÓN</t>
  </si>
  <si>
    <t>•</t>
  </si>
  <si>
    <t>Trata sobre aguacate / Persea americana o aporta un método de detección foliar extrapolable.</t>
  </si>
  <si>
    <t>Menciona enfermedades o plagas foliares relevantes: antracnosis, Cercospora, ácaros, agallas, tizón foliar, roña u otras afecciones visibles en hoja.</t>
  </si>
  <si>
    <t>Aporta información sobre hojas, síntomas foliares, imagen, detección, clasificación, severidad, diagnóstico o monitoreo con IA/UAV/visión por computador.</t>
  </si>
  <si>
    <t>Es estudio primario, artículo técnico, ponencia IEEE o revisión metodológica relevante para el estado del arte.</t>
  </si>
  <si>
    <t>Idioma: español o inglés.</t>
  </si>
  <si>
    <t>5. Criterios de EXCLUSIÓN</t>
  </si>
  <si>
    <t>Se enfoca únicamente en raíz, tallo o fruto sin relación con hojas ni método extrapolable a diagnóstico foliar.</t>
  </si>
  <si>
    <t>No aporta información sobre enfermedad/plaga, síntomas, imagen, IA, diagnóstico o aplicación móvil.</t>
  </si>
  <si>
    <t>No especifica cultivo, órgano, enfermedad/plaga ni método utilizado.</t>
  </si>
  <si>
    <t>Registro duplicado (mismo DOI o título en otra base).</t>
  </si>
  <si>
    <t>Fuera del rango de años definido / idioma distinto de español o inglés.</t>
  </si>
  <si>
    <t>6. Grupos de patógenos considerados</t>
  </si>
  <si>
    <t>1. Phytophthora spp.</t>
  </si>
  <si>
    <t>Colletotrichum spp.</t>
  </si>
  <si>
    <t>2. Lasiodiplodia spp.</t>
  </si>
  <si>
    <t>Pseudocercospora / Cercospora</t>
  </si>
  <si>
    <t>3. Botryosphaeriaceae</t>
  </si>
  <si>
    <t>Oligonychus spp.</t>
  </si>
  <si>
    <t>4. Colletotrichum spp.</t>
  </si>
  <si>
    <t>Trioza spp.</t>
  </si>
  <si>
    <t>5. Fusarium spp.</t>
  </si>
  <si>
    <t>Pestalotiopsis / Neopestalotiopsis / Pseudopestalotiopsis</t>
  </si>
  <si>
    <t>6. Nectria spp.</t>
  </si>
  <si>
    <t>Elsinoe perseae</t>
  </si>
  <si>
    <t>7. Bases de datos consultadas</t>
  </si>
  <si>
    <t>Scopus · IEEE Xplore · Web of Science · Springer · Google Scholar como apoyo.</t>
  </si>
  <si>
    <t>8. Filtros aplicados</t>
  </si>
  <si>
    <t>Años: 2010-2026. Idioma: español / inglés. Tipo: artículos, ponencias y revisiones metodológicas relevantes.</t>
  </si>
  <si>
    <t>9. Criterios de calidad (Q1–Q10)</t>
  </si>
  <si>
    <t>Escala por criterio: 0 = no cumple · 1 = cumple parcialmente · 2 = cumple bien. Se puntúan en la hoja 'Calidad_articulos' (total y nivel se calculan solos).</t>
  </si>
  <si>
    <t>Q1</t>
  </si>
  <si>
    <t>El objetivo o pregunta del estudio está claramente definido.</t>
  </si>
  <si>
    <t>Q2</t>
  </si>
  <si>
    <t>Identifica enfermedad, plaga, patógeno o clase visual de forma clara.</t>
  </si>
  <si>
    <t>Q3</t>
  </si>
  <si>
    <t>Describe síntomas foliares o características visuales útiles para diagnóstico.</t>
  </si>
  <si>
    <t>Q4</t>
  </si>
  <si>
    <t>Se realiza sobre aguacate o presenta un método de detección foliar extrapolable al cultivo.</t>
  </si>
  <si>
    <t>Q5</t>
  </si>
  <si>
    <t>La metodología de captura, diagnóstico, clasificación o evaluación está descrita y es replicable.</t>
  </si>
  <si>
    <t>Q6</t>
  </si>
  <si>
    <t>Aporta evidencia que respalda las conclusiones: imágenes, métricas, laboratorio, campo, índices o resultados del modelo.</t>
  </si>
  <si>
    <t>Q7</t>
  </si>
  <si>
    <t>Menciona métodos de detección o diagnóstico útiles para IA, app móvil, UAV o visión por computador.</t>
  </si>
  <si>
    <t>Q8</t>
  </si>
  <si>
    <t>Indica el contexto geográfico/región (mundial o Latinoamérica) y las condiciones.</t>
  </si>
  <si>
    <t>Q9</t>
  </si>
  <si>
    <t>Resultados y conclusiones claros y coherentes con los datos presentados.</t>
  </si>
  <si>
    <t>Q10</t>
  </si>
  <si>
    <t>Fuente confiable y actual (revista revisada por pares, citable, año dentro del rango).</t>
  </si>
  <si>
    <t>Puntaje / Nivel</t>
  </si>
  <si>
    <t>Total 0–20 →  Alta: 16–20  ·  Media: 11–15  ·  Baja: ≤ 10  (cálculo automático).</t>
  </si>
  <si>
    <t>Validar</t>
  </si>
  <si>
    <t>10. Datos a extraer de cada artículo</t>
  </si>
  <si>
    <t>ID · Autores · Año · DOI · Enfermedad/plaga · Síntoma foliar · Tipo de imagen/sensor · Técnica IA · Métricas · Región · Aporte al sistema móvil.</t>
  </si>
  <si>
    <t>CADENAS DE BÚSQUEDA (registro para reproducibilidad)</t>
  </si>
  <si>
    <t>Escribe la cadena EXACTA usada en cada base, con su fecha y nº de resultados. Repite cada cadena en las 4 bases y registra los resultados de cada una. Esto hace tu revisión REPRODUCIBLE.</t>
  </si>
  <si>
    <t>N.º</t>
  </si>
  <si>
    <t>Grupo</t>
  </si>
  <si>
    <t>Cadena de búsqueda exacta</t>
  </si>
  <si>
    <t>Campos</t>
  </si>
  <si>
    <t>Filtros (años/idioma)</t>
  </si>
  <si>
    <t>Fecha de búsqueda</t>
  </si>
  <si>
    <t>N.º resultados</t>
  </si>
  <si>
    <t>Notas</t>
  </si>
  <si>
    <t>TODOS</t>
  </si>
  <si>
    <t>TITLE-ABS-KEY(("avocado" OR "Persea americana") AND ("leaf" OR "leaves" OR "foliar") AND ("disease" OR "pathogen" OR "pest" OR "symptom"))</t>
  </si>
  <si>
    <t>Título-Resumen-Keywords</t>
  </si>
  <si>
    <t>2010-2026; es/en</t>
  </si>
  <si>
    <t>2026-09-21</t>
  </si>
  <si>
    <t>Búsqueda amplia para enfermedades y plagas foliares.</t>
  </si>
  <si>
    <t>Antracnosis</t>
  </si>
  <si>
    <t>TITLE-ABS-KEY(("avocado" OR "Persea americana") AND ("leaf" OR "leaves" OR "foliar") AND ("anthracnose" OR "Colletotrichum"))</t>
  </si>
  <si>
    <t>Prioridad alta por lesiones foliares y detección visual.</t>
  </si>
  <si>
    <t>Cercospora</t>
  </si>
  <si>
    <t>TITLE-ABS-KEY(("avocado" OR "Persea americana") AND ("Pseudocercospora purpurea" OR "Cercospora purpurea" OR "black spot" OR "Cercospora spot") AND ("leaf" OR "foliar" OR "leaves"))</t>
  </si>
  <si>
    <t>Mancha negra y síntomas visuales.</t>
  </si>
  <si>
    <t>Acaros</t>
  </si>
  <si>
    <t>TITLE-ABS-KEY(("avocado" OR "Persea americana") AND ("Oligonychus perseae" OR "Oligonychus punicae" OR "spider mite" OR "red mite") AND ("leaf" OR "foliar" OR "chlorophyll"))</t>
  </si>
  <si>
    <t>Plagas foliares con síntomas visuales.</t>
  </si>
  <si>
    <t>Tizon foliar</t>
  </si>
  <si>
    <t>TITLE-ABS-KEY(("avocado" OR "Persea americana") AND ("leaf blight" OR "foliar blight" OR "necrotic leaf lesion") AND ("Pestalotiopsis" OR "Neopestalotiopsis" OR "Pseudopestalotiopsis" OR "Colletotrichum fructicola"))</t>
  </si>
  <si>
    <t>Tizón, lesiones necróticas y diagnóstico diferencial.</t>
  </si>
  <si>
    <t>Agallas foliares</t>
  </si>
  <si>
    <t>TITLE-ABS-KEY(("avocado" OR "Persea americana") AND ("leaf gall" OR "foliar gall" OR "Trioza anceps" OR "Trioza perseae"))</t>
  </si>
  <si>
    <t>Clase visual potencial.</t>
  </si>
  <si>
    <t>Vision artificial</t>
  </si>
  <si>
    <t>("avocado" AND "leaf disease") OR ("avocado" AND "leaf disease classification")</t>
  </si>
  <si>
    <t>Metadata IEEE</t>
  </si>
  <si>
    <t>Cadena específica IEEE para clasificación de hojas de aguacate.</t>
  </si>
  <si>
    <t>("plant leaf disease" AND ("computer vision" OR "artificial intelligence" OR "deep learning"))</t>
  </si>
  <si>
    <t>Antecedentes metodológicos generales.</t>
  </si>
  <si>
    <t>YOLO</t>
  </si>
  <si>
    <t>("plant leaf disease" AND YOLO) OR ("leaf disease" AND "object detection")</t>
  </si>
  <si>
    <t>Detección en tiempo real y modelos livianos.</t>
  </si>
  <si>
    <t>App móvil</t>
  </si>
  <si>
    <t>Scopus/IEEE/WoS</t>
  </si>
  <si>
    <t>("plant disease" OR "leaf disease") AND ("mobile application" OR smartphone OR Android) AND ("deep learning" OR CNN OR "computer vision")</t>
  </si>
  <si>
    <t>Para justificar integración futura en app móvil.</t>
  </si>
  <si>
    <t>Base_consolidada</t>
  </si>
  <si>
    <t>Consolidación inicial adaptada al tema de hojas de aguacate, enfermedades/plagas foliares, IA, visión por computador, UAV y posible aplicación móvil.</t>
  </si>
  <si>
    <t>ID</t>
  </si>
  <si>
    <t>Título completo</t>
  </si>
  <si>
    <t>Autores</t>
  </si>
  <si>
    <t>Año</t>
  </si>
  <si>
    <t>DOI</t>
  </si>
  <si>
    <t>Keywords</t>
  </si>
  <si>
    <t>Abstract</t>
  </si>
  <si>
    <t>Tipo de documento</t>
  </si>
  <si>
    <t>Fuente / Revista</t>
  </si>
  <si>
    <t>Estado inicial</t>
  </si>
  <si>
    <t>Registro fuente</t>
  </si>
  <si>
    <t>H0001</t>
  </si>
  <si>
    <t>Unified Approach for Avocado Leaf Disease Classification: CNN-SVM Fusion</t>
  </si>
  <si>
    <t>Mir; Banerjee; Chauhan; Pokhariya; Kumar</t>
  </si>
  <si>
    <t>10.1109/I2CT61223.2024.10544074</t>
  </si>
  <si>
    <t>avocado leaf disease; CNN; SVM; image classification; anthracnose</t>
  </si>
  <si>
    <t>Study focused on avocado leaf disease classification using a CNN-SVM fusion approach. It is directly aligned with automated diagnosis of foliar diseases in Persea americana.</t>
  </si>
  <si>
    <t>Conference paper</t>
  </si>
  <si>
    <t>IEEE I2CT</t>
  </si>
  <si>
    <t>Importado / adaptado</t>
  </si>
  <si>
    <t>C:\Users\plusm\Desktop\Tesis\Bibliografia\Vision artificial y UAV\IEEE Xplore\Unified Approach for Avocado Leaf Disease Classification_ CNN-SVM Fusion.url</t>
  </si>
  <si>
    <t>H0002</t>
  </si>
  <si>
    <t>Plant Leaf Disease Detection, Classification, and Diagnosis Using Computer Vision and Artificial Intelligence: A Review</t>
  </si>
  <si>
    <t>IEEE Access review authors</t>
  </si>
  <si>
    <t>10.1109/ACCESS.2024.3373001</t>
  </si>
  <si>
    <t>plant leaf disease; computer vision; artificial intelligence; deep learning; review</t>
  </si>
  <si>
    <t>Review of plant leaf disease detection, classification and diagnosis using computer vision and artificial intelligence.</t>
  </si>
  <si>
    <t>Review</t>
  </si>
  <si>
    <t>IEEE Access</t>
  </si>
  <si>
    <t>C:\Users\plusm\Desktop\Tesis\Bibliografia\Vision artificial y UAV\IEEE Xplore\Plant Leaf Disease Detection_ Classification_ and Diagnosis Using Computer Vision and Artificial Intelligence_ A Review.url</t>
  </si>
  <si>
    <t>H0003</t>
  </si>
  <si>
    <t>Real-Time Detection and Identification of Plant Leaf Diseases using YOLOv4-tiny</t>
  </si>
  <si>
    <t>ICCCNT authors</t>
  </si>
  <si>
    <t>10.1109/ICCCNT51525.2021.9579783</t>
  </si>
  <si>
    <t>YOLOv4-tiny; plant leaf disease; real-time detection; object detection</t>
  </si>
  <si>
    <t>Methodological antecedent for real-time detection and identification of plant leaf diseases using a lightweight YOLO model.</t>
  </si>
  <si>
    <t>IEEE ICCCNT</t>
  </si>
  <si>
    <t>C:\Users\plusm\Desktop\Tesis\Bibliografia\Vision artificial y UAV\IEEE Xplore\Real-Time Detection and Identification of Plant Leaf Diseases using YOLOv4-tiny.url</t>
  </si>
  <si>
    <t>H0004</t>
  </si>
  <si>
    <t>Scientific Reports</t>
  </si>
  <si>
    <t>Spectrally optimised YOLOv10s-SeqOpt framework for real-time UAV-based early detection of avocado foliar diseases in Indian orchards</t>
  </si>
  <si>
    <t>Karthik; Govindasamy; Muthusamy; Routray</t>
  </si>
  <si>
    <t>10.1038/s41598-026-50025-z</t>
  </si>
  <si>
    <t>avocado; foliar diseases; UAV; YOLOv10s; deep learning; early detection</t>
  </si>
  <si>
    <t>Direct study on UAV-based early detection of avocado foliar diseases using an optimized YOLOv10s framework.</t>
  </si>
  <si>
    <t>Article</t>
  </si>
  <si>
    <t>C:\Users\plusm\Desktop\Tesis\Bibliografia\Antracnosis\s41598-026-50025-z.pdf</t>
  </si>
  <si>
    <t>H0005</t>
  </si>
  <si>
    <t>AgriEngineering</t>
  </si>
  <si>
    <t>Spatial Mapping of Avocado Anthracnose Severity Using UAV-Derived Vegetation Indices in Amazonas, Peru</t>
  </si>
  <si>
    <t>Guelac-Santillan et al.</t>
  </si>
  <si>
    <t>avocado; anthracnose; UAV; vegetation indices; severity mapping; Peru</t>
  </si>
  <si>
    <t>Maps avocado anthracnose severity using UAV-derived vegetation indices in Amazonas, Peru.</t>
  </si>
  <si>
    <t>C:\Users\plusm\Desktop\Tesis\Bibliografia\Antracnosis\agriengineering-08-00340.pdf</t>
  </si>
  <si>
    <t>H0006</t>
  </si>
  <si>
    <t>International Journal of Plant Biology</t>
  </si>
  <si>
    <t>Colletotrichum fructicola Causes Necrotic Leaf Lesions in Avocado (Persea americana) in Amazonas, Peru: First Record and In Vitro Control Using Piper Essential Oils</t>
  </si>
  <si>
    <t>Authors not extracted</t>
  </si>
  <si>
    <t>Colletotrichum fructicola; avocado; necrotic leaf lesions; Peru; leaf disease</t>
  </si>
  <si>
    <t>Reports Colletotrichum fructicola causing necrotic leaf lesions in avocado in Amazonas, Peru.</t>
  </si>
  <si>
    <t>C:\Users\plusm\Desktop\Tesis\Bibliografia\Tizón de la hoja\ijpb-17-00010.pdf</t>
  </si>
  <si>
    <t>H0007</t>
  </si>
  <si>
    <t>Revista Colombiana de Ciencias Hortícolas</t>
  </si>
  <si>
    <t>Validation of black spot management strategies in avocado crops in northern Tolima (Colombia)</t>
  </si>
  <si>
    <t>Rodríguez-Polanco et al.</t>
  </si>
  <si>
    <t>10.17584/rcch.2020v14i2.10169</t>
  </si>
  <si>
    <t>Pseudocercospora purpurea; avocado; black spot; Cercospora; management</t>
  </si>
  <si>
    <t>Evaluates management strategies for black spot caused by Pseudocercospora purpurea in avocado crops in Colombia.</t>
  </si>
  <si>
    <t>C:\Users\plusm\Desktop\Tesis\Bibliografia\Cercospora\rcch,+03_Validation+of+black+spot+[(Pseudocercospora+purpurea+(Cooke)+Deighton]+management+strategies+in+avocado+crops+in+norther.pdf</t>
  </si>
  <si>
    <t>H0008</t>
  </si>
  <si>
    <t>Journal of Sol-Gel Science and Technology</t>
  </si>
  <si>
    <t>Silica-based nanomaterials for the control of Trioza anceps: Laboratory bioassays and preliminary field observations</t>
  </si>
  <si>
    <t>Cinto-Alarcon et al.</t>
  </si>
  <si>
    <t>10.1007/s10971-026-07179-z</t>
  </si>
  <si>
    <t>Trioza anceps; avocado; leaf gall; foliar gall; control</t>
  </si>
  <si>
    <t>Evaluates silica-based nanomaterials for control of Trioza anceps, a foliar gall pest in avocado.</t>
  </si>
  <si>
    <t>C:\Users\plusm\Desktop\Tesis\Bibliografia\Agallas foliares\s10971-026-07179-z.pdf</t>
  </si>
  <si>
    <t>H0009</t>
  </si>
  <si>
    <t>Journal of Economic Entomology</t>
  </si>
  <si>
    <t>Biocontrol Potential of Neoseiulus californicus Against Oligonychus punicae in Avocado</t>
  </si>
  <si>
    <t>Oliveira et al.</t>
  </si>
  <si>
    <t>10.1093/jee/toab029</t>
  </si>
  <si>
    <t>Oligonychus punicae; avocado; mite; biocontrol; Neoseiulus californicus</t>
  </si>
  <si>
    <t>Evaluates the biocontrol potential of Neoseiulus californicus against Oligonychus punicae in avocado.</t>
  </si>
  <si>
    <t>C:\Users\plusm\Desktop\Tesis\Bibliografia\_Bibliografia adicional 2026\06_Arana_roja_Oligonychus_punicae_Oliveira_2021.url</t>
  </si>
  <si>
    <t>H0010</t>
  </si>
  <si>
    <t>Plant Health Progress</t>
  </si>
  <si>
    <t>Avocado Scab Caused by Elsinoe perseae: A Diagnostic Guide</t>
  </si>
  <si>
    <t>Belizaire; Gañán-Betancur; Gazis</t>
  </si>
  <si>
    <t>10.1094/PHP-10-23-0084-DG</t>
  </si>
  <si>
    <t>avocado scab; Elsinoe perseae; diagnosis; disease guide</t>
  </si>
  <si>
    <t>Diagnostic guide for avocado scab caused by Elsinoe perseae.</t>
  </si>
  <si>
    <t>Diagnostic guide</t>
  </si>
  <si>
    <t>C:\Users\plusm\Desktop\Tesis\Bibliografia\Roña\09_Rona_Scab_Belizaire_2024.url</t>
  </si>
  <si>
    <t>H0011</t>
  </si>
  <si>
    <t>Journal</t>
  </si>
  <si>
    <t>Real-time hass avocado ripeness detection using close-range UAV imagery and YOLO-based deep learning</t>
  </si>
  <si>
    <t>Tudela Taco; Quispe Accostupa; Sulla Espinoza</t>
  </si>
  <si>
    <t>avocado; UAV imagery; YOLO; deep learning; ripeness detection</t>
  </si>
  <si>
    <t>Uses close-range UAV imagery and YOLO-based deep learning for real-time Hass avocado ripeness detection.</t>
  </si>
  <si>
    <t>Local PDF</t>
  </si>
  <si>
    <t>C:\Users\plusm\Desktop\Tesis\Bibliografia\Vision artificial y UAV\Real-time hass avocado ripeness detection using close-range UAV imagery and YOLO-based deep learning.pdf</t>
  </si>
  <si>
    <t>H0012</t>
  </si>
  <si>
    <t>Simultaneously prediction of multiple wheat leaf phenotypes using hyperspectral imaging with multi-task machine and deep learning</t>
  </si>
  <si>
    <t>Fu et al.</t>
  </si>
  <si>
    <t>hyperspectral imaging; leaf phenotype; machine learning; deep learning</t>
  </si>
  <si>
    <t>Methodological reference for hyperspectral imaging and multi-task learning applied to leaf phenotype prediction.</t>
  </si>
  <si>
    <t>C:\Users\plusm\Desktop\Tesis\Bibliografia\Cultivos comparativos\Simultaneously prediction of multiple wheat leaf phenotypes using.pdf</t>
  </si>
  <si>
    <t>Duplicados_y_exclusion</t>
  </si>
  <si>
    <t>Primer filtro: marca y descarta duplicados (mismo DOI/título) y exclusiones (revisiones/surveys). Conserva un único registro por estudio. Cada descarte lleva su motivo.</t>
  </si>
  <si>
    <t>ID original</t>
  </si>
  <si>
    <t>Tipo de exclusión</t>
  </si>
  <si>
    <t>Motivo de exclusión</t>
  </si>
  <si>
    <t>Duplicado</t>
  </si>
  <si>
    <t>Tipo de estudio detectado</t>
  </si>
  <si>
    <t>Decisión</t>
  </si>
  <si>
    <t>No</t>
  </si>
  <si>
    <t>Conservar</t>
  </si>
  <si>
    <t>Revisión</t>
  </si>
  <si>
    <t>Se conserva como apoyo del estado del arte, no como estudio primario principal.</t>
  </si>
  <si>
    <t>Tamizaje_Titulo_Abstract_Keywords</t>
  </si>
  <si>
    <t>Cribado por título, abstract y keywords. Registra la evidencia de cada eje y decide si el registro pasa a evaluación de calidad.</t>
  </si>
  <si>
    <t>Keywords principales</t>
  </si>
  <si>
    <t>Resumen técnico del abstract</t>
  </si>
  <si>
    <t>Evidencia de Inteligencia Artificial</t>
  </si>
  <si>
    <t>Evidencia de HCI / UX / UCD / usability</t>
  </si>
  <si>
    <t>Evidencia de aplicación móvil</t>
  </si>
  <si>
    <t>Evidencia de design / framework / methodology / approach</t>
  </si>
  <si>
    <t>Evidencia de agricultura / farming / smart agriculture</t>
  </si>
  <si>
    <t>Tipo de estudio (Primario / Revisión / Otro)</t>
  </si>
  <si>
    <t>Nivel de alineación con el objetivo</t>
  </si>
  <si>
    <t>Motivo de clasificación</t>
  </si>
  <si>
    <t>¿Pasa a evaluación de calidad?</t>
  </si>
  <si>
    <t>Sí: CNN-SVM</t>
  </si>
  <si>
    <t>Parcial: se evaluará para interfaz/app móvil si aporta a la propuesta</t>
  </si>
  <si>
    <t>No explícita</t>
  </si>
  <si>
    <t>Sí: aporta método, diagnóstico, clasificación o criterio de revisión</t>
  </si>
  <si>
    <t>Sí: aguacate, enfermedad foliar</t>
  </si>
  <si>
    <t>Alta</t>
  </si>
  <si>
    <t>IA aplicada a hojas de aguacate</t>
  </si>
  <si>
    <t>Sí</t>
  </si>
  <si>
    <t>Sí: IA, computer vision, deep learning</t>
  </si>
  <si>
    <t>Sí: enfermedades foliares</t>
  </si>
  <si>
    <t>Media</t>
  </si>
  <si>
    <t>Estado del arte IA foliar</t>
  </si>
  <si>
    <t>Sí: YOLOv4-tiny</t>
  </si>
  <si>
    <t>Sí: enfermedad foliar vegetal</t>
  </si>
  <si>
    <t>YOLO para enfermedades foliares</t>
  </si>
  <si>
    <t>Sí: YOLOv10s, deep learning</t>
  </si>
  <si>
    <t>Sí: aguacate, enfermedades foliares</t>
  </si>
  <si>
    <t>UAV e IA en aguacate</t>
  </si>
  <si>
    <t>Parcial: índices de vegetación y análisis espacial</t>
  </si>
  <si>
    <t>Sí: aguacate, antracnosis</t>
  </si>
  <si>
    <t>Antracnosis y UAV</t>
  </si>
  <si>
    <t>Parcial: aporta base fitosanitaria</t>
  </si>
  <si>
    <t>Sí: aguacate, lesiones foliares</t>
  </si>
  <si>
    <t>Lesiones foliares necroticas</t>
  </si>
  <si>
    <t>Sí: aguacate, mancha negra</t>
  </si>
  <si>
    <t>Cercospora y mancha negra</t>
  </si>
  <si>
    <t>Sí: aguacate, Trioza anceps</t>
  </si>
  <si>
    <t>Sí: aguacate, ácaros</t>
  </si>
  <si>
    <t>Araña roja y acaros</t>
  </si>
  <si>
    <t>Sí: aguacate, roña</t>
  </si>
  <si>
    <t>Roña</t>
  </si>
  <si>
    <t>Sí: YOLO, deep learning</t>
  </si>
  <si>
    <t>Sí: aguacate</t>
  </si>
  <si>
    <t>YOLO y UAV en aguacate</t>
  </si>
  <si>
    <t>Sí: machine learning, deep learning</t>
  </si>
  <si>
    <t>Sí: hojas de cultivo</t>
  </si>
  <si>
    <t>Baja</t>
  </si>
  <si>
    <t>Cultivos comparativos</t>
  </si>
  <si>
    <t>Calidad_articulos</t>
  </si>
  <si>
    <t>Evaluación de calidad de lo que pasó el tamizaje. Q1-Q10 se puntúan 0/1/2; el puntaje total (0-20) y el nivel de calidad se CALCULAN SOLOS.</t>
  </si>
  <si>
    <t>Puntaje total</t>
  </si>
  <si>
    <t>Nivel de calidad</t>
  </si>
  <si>
    <t>Observaciones de calidad</t>
  </si>
  <si>
    <t>Articulos_finales</t>
  </si>
  <si>
    <t>Selección final razonada: analiza el aporte de cada artículo y decide Incluir o Reserva, con su justificación.</t>
  </si>
  <si>
    <t>Tipo de estudio</t>
  </si>
  <si>
    <t>Aporte principal</t>
  </si>
  <si>
    <t>Relación con Objetivo 1</t>
  </si>
  <si>
    <t>Evidencia de IA</t>
  </si>
  <si>
    <t>Evidencia de HCI/UX</t>
  </si>
  <si>
    <t>Evidencia de mobile app</t>
  </si>
  <si>
    <t>Evidencia de design/framework/methodology/approach</t>
  </si>
  <si>
    <t>Evidencia de agricultura</t>
  </si>
  <si>
    <t>Decisión final (Incluir / Reserva)</t>
  </si>
  <si>
    <t>Justificación final</t>
  </si>
  <si>
    <t>Aporta a la línea: IA aplicada a hojas de aguacate.</t>
  </si>
  <si>
    <t>Relacionado con el Objetivo 1 porque aporta evidencia fitosanitaria, síntomas foliares o metodología de detección automatizada para hojas de aguacate.</t>
  </si>
  <si>
    <t>Parcial: útil para diseñar criterios de interacción y validación de app</t>
  </si>
  <si>
    <t>Sí: método o enfoque documentado</t>
  </si>
  <si>
    <t>Alta calidad</t>
  </si>
  <si>
    <t>Incluir en el marco teórico principal.</t>
  </si>
  <si>
    <t>Aporta a la línea: Estado del arte IA foliar.</t>
  </si>
  <si>
    <t>Mantener como apoyo metodológico o diagnóstico diferencial.</t>
  </si>
  <si>
    <t>Aporta a la línea: YOLO para enfermedades foliares.</t>
  </si>
  <si>
    <t>Aporta a la línea: UAV e IA en aguacate.</t>
  </si>
  <si>
    <t>Aporta a la línea: Antracnosis y UAV.</t>
  </si>
  <si>
    <t>Aporta a la línea: Lesiones foliares necroticas.</t>
  </si>
  <si>
    <t>Parcial: soporte fitosanitario</t>
  </si>
  <si>
    <t>Aporta a la línea: Cercospora y mancha negra.</t>
  </si>
  <si>
    <t>Aporta a la línea: Agallas foliares.</t>
  </si>
  <si>
    <t>Aporta a la línea: Araña roja y acaros.</t>
  </si>
  <si>
    <t>Aporta a la línea: Roña.</t>
  </si>
  <si>
    <t>Aporta a la línea: YOLO y UAV en aguacate.</t>
  </si>
  <si>
    <t>Aporta a la línea: Cultivos comparativos.</t>
  </si>
  <si>
    <t>Autor</t>
  </si>
  <si>
    <t>Estudio</t>
  </si>
  <si>
    <t>Técnica IA</t>
  </si>
  <si>
    <t>Método HCI</t>
  </si>
  <si>
    <t>Plataforma móvil</t>
  </si>
  <si>
    <t>Evaluación UX</t>
  </si>
  <si>
    <t>Mir; Banerjee; Chauhan; Pokhariya; Kumar (2024)</t>
  </si>
  <si>
    <t>Por definir en la propuesta de app móvil</t>
  </si>
  <si>
    <t>Android / móvil por definir</t>
  </si>
  <si>
    <t>Pendiente: SUS, heurísticas o pruebas con usuarios</t>
  </si>
  <si>
    <t>Karthik; Govindasamy; Muthusamy; Routray (2026)</t>
  </si>
  <si>
    <t>Guelac-Santillan et al. (2026)</t>
  </si>
  <si>
    <t>No aplica directamente</t>
  </si>
  <si>
    <t>Authors not extracted (2026)</t>
  </si>
  <si>
    <t>Rodríguez-Polanco et al. (2020)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</si>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</sst>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1F3864"/>
      <name val="Calibri"/>
      <family val="2"/>
    </font>
    <font>
      <sz val="10"/>
      <name val="Calibri"/>
      <family val="2"/>
    </font>
    <font>
      <b/>
      <i/>
      <sz val="11"/>
      <color rgb="FFC00000"/>
      <name val="Calibri"/>
      <family val="2"/>
    </font>
    <font>
      <b/>
      <sz val="10"/>
      <color rgb="FF1F3864"/>
      <name val="Calibri"/>
      <family val="2"/>
    </font>
    <font>
      <b/>
      <sz val="10"/>
      <color rgb="FFC00000"/>
      <name val="Calibri"/>
      <family val="2"/>
    </font>
    <font>
      <sz val="10"/>
      <name val="Calibri"/>
      <family val="2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AF3FF"/>
      </patternFill>
    </fill>
    <fill>
      <patternFill patternType="solid">
        <fgColor rgb="FF1F4E78"/>
      </patternFill>
    </fill>
    <fill>
      <patternFill patternType="solid">
        <fgColor rgb="FFEAF6EA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7C9E2"/>
      </bottom>
      <diagonal/>
    </border>
    <border>
      <left/>
      <right/>
      <top/>
      <bottom style="thin">
        <color rgb="FFB7C9E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2">
    <xf numFmtId="0" fontId="0" fillId="0" borderId="0"/>
    <xf numFmtId="0" fontId="14" fillId="0" borderId="0"/>
  </cellStyleXfs>
  <cellXfs count="6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  <xf numFmtId="0" fontId="0" fillId="0" borderId="1" xfId="0" applyBorder="1"/>
    <xf numFmtId="0" fontId="4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7" fillId="7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12" fillId="7" borderId="0" xfId="0" applyFont="1" applyFill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15" fillId="8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1" fontId="0" fillId="0" borderId="0" xfId="0" applyNumberForma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0" fillId="0" borderId="0" xfId="0"/>
    <xf numFmtId="0" fontId="0" fillId="0" borderId="2" xfId="0" applyBorder="1"/>
    <xf numFmtId="0" fontId="3" fillId="4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0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7" fillId="0" borderId="1" xfId="0" applyFont="1" applyFill="1" applyBorder="1" applyAlignment="1">
      <alignment horizontal="center" vertical="top" wrapText="1"/>
    </xf>
    <xf numFmtId="0" fontId="17" fillId="0" borderId="2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0" fontId="18" fillId="0" borderId="1" xfId="0" applyFont="1" applyFill="1" applyBorder="1" applyAlignment="1">
      <alignment horizontal="center" vertical="top" wrapText="1"/>
    </xf>
    <xf numFmtId="0" fontId="16" fillId="0" borderId="0" xfId="0" applyFont="1"/>
    <xf numFmtId="0" fontId="19" fillId="2" borderId="0" xfId="0" applyFont="1" applyFill="1" applyAlignment="1">
      <alignment vertical="top" wrapText="1"/>
    </xf>
    <xf numFmtId="0" fontId="16" fillId="0" borderId="0" xfId="0" applyFont="1"/>
    <xf numFmtId="0" fontId="20" fillId="0" borderId="0" xfId="0" applyFont="1"/>
    <xf numFmtId="0" fontId="20" fillId="0" borderId="0" xfId="0" applyFont="1"/>
    <xf numFmtId="0" fontId="21" fillId="0" borderId="1" xfId="0" applyFont="1" applyFill="1" applyBorder="1" applyAlignment="1">
      <alignment horizontal="center" vertical="top" wrapText="1"/>
    </xf>
    <xf numFmtId="0" fontId="21" fillId="0" borderId="2" xfId="0" applyFont="1" applyFill="1" applyBorder="1" applyAlignment="1">
      <alignment horizontal="center" vertical="top" wrapText="1"/>
    </xf>
    <xf numFmtId="0" fontId="21" fillId="0" borderId="0" xfId="0" applyFont="1" applyFill="1" applyBorder="1" applyAlignment="1">
      <alignment horizontal="center" vertical="top" wrapText="1"/>
    </xf>
    <xf numFmtId="0" fontId="17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22" fillId="0" borderId="0" xfId="1" applyFont="1" applyFill="1" applyAlignment="1">
      <alignment vertical="top" wrapText="1"/>
    </xf>
    <xf numFmtId="0" fontId="17" fillId="0" borderId="4" xfId="0" applyFont="1" applyFill="1" applyBorder="1" applyAlignment="1">
      <alignment horizontal="center" vertical="top" wrapText="1"/>
    </xf>
    <xf numFmtId="0" fontId="17" fillId="0" borderId="3" xfId="0" applyFont="1" applyFill="1" applyBorder="1" applyAlignment="1">
      <alignment horizontal="center" vertical="top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top" wrapText="1"/>
    </xf>
    <xf numFmtId="0" fontId="17" fillId="0" borderId="9" xfId="0" applyFont="1" applyFill="1" applyBorder="1" applyAlignment="1">
      <alignment horizontal="center" vertical="top" wrapText="1"/>
    </xf>
    <xf numFmtId="0" fontId="17" fillId="0" borderId="10" xfId="0" applyFont="1" applyFill="1" applyBorder="1" applyAlignment="1">
      <alignment horizontal="center" vertical="top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top" wrapText="1"/>
    </xf>
    <xf numFmtId="0" fontId="18" fillId="0" borderId="6" xfId="0" applyFont="1" applyFill="1" applyBorder="1" applyAlignment="1">
      <alignment horizontal="center" vertical="top" wrapText="1"/>
    </xf>
    <xf numFmtId="0" fontId="18" fillId="0" borderId="7" xfId="0" applyFont="1" applyFill="1" applyBorder="1" applyAlignment="1">
      <alignment horizontal="center" vertical="top" wrapText="1"/>
    </xf>
    <xf numFmtId="0" fontId="18" fillId="0" borderId="8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10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border outline="0"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AF6E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border outline="0">
        <bottom style="thin">
          <color rgb="FFB7C9E2"/>
        </bottom>
      </border>
    </dxf>
    <dxf>
      <border outline="0"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border outline="0">
        <bottom style="thin">
          <color rgb="FFB7C9E2"/>
        </bottom>
      </border>
    </dxf>
    <dxf>
      <border outline="0"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B7C9E2"/>
        </bottom>
      </border>
    </dxf>
    <dxf>
      <border outline="0">
        <bottom style="thin">
          <color rgb="FFB7C9E2"/>
        </bottom>
      </border>
    </dxf>
    <dxf>
      <border outline="0">
        <bottom style="thin">
          <color rgb="FFB7C9E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E0A97B-16D4-4AAA-9FE3-06C62E2DF740}" name="Table6" displayName="Table6" ref="A4:I14" totalsRowShown="0" headerRowDxfId="0" dataDxfId="1" headerRowBorderDxfId="12" tableBorderDxfId="13" totalsRowBorderDxfId="11">
  <autoFilter ref="A4:I14" xr:uid="{00000000-0009-0000-0000-000001000000}"/>
  <tableColumns count="9">
    <tableColumn id="1" xr3:uid="{19BA71E4-0638-4F2B-9C65-E488BDE0CCF7}" name="N.º" dataDxfId="10"/>
    <tableColumn id="2" xr3:uid="{F66754C8-B91B-4F7D-B85B-30BEFB77F349}" name="Grupo" dataDxfId="9"/>
    <tableColumn id="3" xr3:uid="{22BFA8DB-D848-4764-B14A-7F819D7137CA}" name="Base de datos" dataDxfId="8"/>
    <tableColumn id="4" xr3:uid="{7759711D-8BB6-45D9-BE28-274A9E3FF066}" name="Cadena de búsqueda exacta" dataDxfId="7"/>
    <tableColumn id="5" xr3:uid="{388C1C30-0003-494C-A3CE-12F409422755}" name="Campos" dataDxfId="6"/>
    <tableColumn id="6" xr3:uid="{62332E32-2C0C-40B1-8362-D06D893B1D41}" name="Filtros (años/idioma)" dataDxfId="5"/>
    <tableColumn id="7" xr3:uid="{D5503ACC-ACD4-48EC-8A7F-317C514E3D38}" name="Fecha de búsqueda" dataDxfId="4"/>
    <tableColumn id="8" xr3:uid="{459BB27A-3148-404C-8213-013F0F36952D}" name="N.º resultados" dataDxfId="3"/>
    <tableColumn id="9" xr3:uid="{24C1EB8B-C301-4D23-9D4F-D4E98DB89628}" name="Notas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EBE278-A16C-47D5-9F21-0D0667FBB8B8}" name="Table5" displayName="Table5" ref="A3:L15" totalsRowShown="0" headerRowDxfId="14" dataDxfId="15" headerRowBorderDxfId="28">
  <autoFilter ref="A3:L15" xr:uid="{00000000-0009-0000-0000-000002000000}"/>
  <tableColumns count="12">
    <tableColumn id="1" xr3:uid="{CB777EE1-2798-43EE-932D-3671F72390B9}" name="ID" dataDxfId="27"/>
    <tableColumn id="2" xr3:uid="{D393C210-F6CD-42EF-8AC4-0882507B3E3D}" name="Base de datos" dataDxfId="26"/>
    <tableColumn id="3" xr3:uid="{DE982FFF-53CA-40CB-93CE-EA94CF39C913}" name="Título completo" dataDxfId="25"/>
    <tableColumn id="4" xr3:uid="{A004A987-F783-4EBB-BEB2-32F6AC7B9518}" name="Autores" dataDxfId="24"/>
    <tableColumn id="5" xr3:uid="{B5153C17-F15F-478C-9367-82CBC12CC546}" name="Año" dataDxfId="23"/>
    <tableColumn id="6" xr3:uid="{33C11601-71A4-4511-ABA7-52C92992778D}" name="DOI" dataDxfId="22"/>
    <tableColumn id="7" xr3:uid="{64E0709C-4717-492E-913B-00961AC20EB4}" name="Keywords" dataDxfId="21"/>
    <tableColumn id="8" xr3:uid="{46CB19CD-D07F-4D72-BC9A-B32D20256002}" name="Abstract" dataDxfId="20"/>
    <tableColumn id="9" xr3:uid="{6DE4C5A9-74C9-41A4-B4B7-AF60CC25D62D}" name="Tipo de documento" dataDxfId="19"/>
    <tableColumn id="10" xr3:uid="{A7D89A4F-6B4C-4172-A286-EAC953EA201E}" name="Fuente / Revista" dataDxfId="18"/>
    <tableColumn id="11" xr3:uid="{1948D248-D198-45FA-94EF-60B5BAC7BFD0}" name="Estado inicial" dataDxfId="17"/>
    <tableColumn id="12" xr3:uid="{BF2B3C44-3F92-471B-8081-02A334BA4590}" name="Registro fuente" dataDxfId="16" dataCellStyle="Hyperlin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65DB47-03EE-414E-9418-3E6927C15504}" name="Table4" displayName="Table4" ref="A3:J16" totalsRowShown="0" headerRowDxfId="29" dataDxfId="30">
  <autoFilter ref="A3:J16" xr:uid="{1D65DB47-03EE-414E-9418-3E6927C15504}"/>
  <tableColumns count="10">
    <tableColumn id="1" xr3:uid="{DD4CA118-7C38-42E4-9408-4BA9CE3A30EF}" name="Column1" dataDxfId="40"/>
    <tableColumn id="2" xr3:uid="{B3C728B1-50B3-482D-BD25-5FB45B529829}" name="Column2" dataDxfId="39"/>
    <tableColumn id="3" xr3:uid="{5A91B717-2083-4D12-8018-1D2F713D6661}" name="Column3" dataDxfId="38"/>
    <tableColumn id="4" xr3:uid="{CF89852B-6227-4CA6-936D-B721835F9D54}" name="Column4" dataDxfId="37"/>
    <tableColumn id="5" xr3:uid="{9A216B7F-C403-4DD0-8556-E0C51B0E1B63}" name="Column5" dataDxfId="36"/>
    <tableColumn id="6" xr3:uid="{D1F80CA8-5CA7-46C5-97C1-931155A3571F}" name="Column6" dataDxfId="35"/>
    <tableColumn id="7" xr3:uid="{3CFFB29B-8675-4F3F-8F05-408AE7C91C74}" name="Column7" dataDxfId="34"/>
    <tableColumn id="8" xr3:uid="{C24391BE-AFA6-4302-85B8-3E7C40715217}" name="Column8" dataDxfId="33"/>
    <tableColumn id="9" xr3:uid="{487473F1-2714-4CA3-A6D7-A1EE51B8CE34}" name="Column9" dataDxfId="32"/>
    <tableColumn id="10" xr3:uid="{754F32A3-7F68-47D6-B725-951276531E73}" name="Column10" dataDxfId="3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9CD29-8D76-4FA4-8DF7-874F40B69E3B}" name="Table1" displayName="Table1" ref="A3:N16" totalsRowShown="0" headerRowDxfId="86" dataDxfId="87" headerRowBorderDxfId="102" tableBorderDxfId="103">
  <autoFilter ref="A3:N16" xr:uid="{D599CD29-8D76-4FA4-8DF7-874F40B69E3B}"/>
  <tableColumns count="14">
    <tableColumn id="1" xr3:uid="{7CC6139D-EDBD-4414-B804-50B9366150D3}" name="Column1" dataDxfId="101"/>
    <tableColumn id="2" xr3:uid="{47DB12A7-287A-4F7F-8C22-8F96A43DDF9F}" name="Column2" dataDxfId="100"/>
    <tableColumn id="3" xr3:uid="{3FF23477-3521-4F37-9168-6281DFD8DD31}" name="Column3" dataDxfId="99"/>
    <tableColumn id="4" xr3:uid="{72C6C932-D8BC-4107-83DB-25D7EEAFDBAA}" name="Column4" dataDxfId="98"/>
    <tableColumn id="5" xr3:uid="{12582EEA-C821-4A04-AAA0-9B3C7929D07D}" name="Column5" dataDxfId="97"/>
    <tableColumn id="6" xr3:uid="{60245CEE-F5BC-4A8D-9A57-22550B4430C6}" name="Column6" dataDxfId="96"/>
    <tableColumn id="7" xr3:uid="{3CECB0D6-1EB4-4833-9F3D-04A2BEBD2D47}" name="Column7" dataDxfId="95"/>
    <tableColumn id="8" xr3:uid="{95036397-318D-461C-A2F9-CC409D49C38B}" name="Column8" dataDxfId="94"/>
    <tableColumn id="9" xr3:uid="{A0B596FC-FFE0-4413-B623-80567F4D02F6}" name="Column9" dataDxfId="93"/>
    <tableColumn id="10" xr3:uid="{1AA4504C-49B8-4910-A29A-B2C62301D231}" name="Column10" dataDxfId="92"/>
    <tableColumn id="11" xr3:uid="{F128CF7B-29C9-4C41-BD79-C12035BFD9CC}" name="Column11" dataDxfId="91"/>
    <tableColumn id="12" xr3:uid="{8C2F3AFD-5D5F-4C3D-9C86-DC4E6204F5BF}" name="Column12" dataDxfId="90"/>
    <tableColumn id="13" xr3:uid="{CE844D8B-3D80-4EF3-BE44-EE4D027BE146}" name="Column13" dataDxfId="89"/>
    <tableColumn id="14" xr3:uid="{BA7C1E8F-22E8-45CB-BD57-CF580B6DBC01}" name="Column14" dataDxfId="8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AF741-F47F-4661-A499-06C90CC884B2}" name="Table2" displayName="Table2" ref="A3:P15" totalsRowShown="0" headerRowDxfId="66" dataDxfId="67" headerRowBorderDxfId="84" tableBorderDxfId="85">
  <autoFilter ref="A3:P15" xr:uid="{00000000-0009-0000-0000-000005000000}"/>
  <tableColumns count="16">
    <tableColumn id="1" xr3:uid="{FFBC83D5-BED3-400D-B7C6-82407B2BF615}" name="ID" dataDxfId="83"/>
    <tableColumn id="2" xr3:uid="{1594D6E5-8361-4EE7-88B8-002A8F90BD6C}" name="Base de datos" dataDxfId="82"/>
    <tableColumn id="3" xr3:uid="{4C0C3AB0-CCE8-4A6A-8EC5-AF5D7F07D68E}" name="Título completo" dataDxfId="81"/>
    <tableColumn id="4" xr3:uid="{0FBE5419-5B92-4783-ADB7-1165D2F3CBFB}" name="Q1" dataDxfId="80"/>
    <tableColumn id="5" xr3:uid="{509D3FB0-CC3E-4D0D-8382-D905A4DD7CFE}" name="Q2" dataDxfId="79"/>
    <tableColumn id="6" xr3:uid="{0C92DFB8-7E49-40E4-8262-21E91D5BCB52}" name="Q3" dataDxfId="78"/>
    <tableColumn id="7" xr3:uid="{EF6077D2-B4F4-4762-9034-40DFDCE801E4}" name="Q4" dataDxfId="77"/>
    <tableColumn id="8" xr3:uid="{AFB15BC5-277F-43C2-8AD5-97F6F3D7FE77}" name="Q5" dataDxfId="76"/>
    <tableColumn id="9" xr3:uid="{A74B185E-37F3-47B3-84EE-CDE17A78A6E8}" name="Q6" dataDxfId="75"/>
    <tableColumn id="10" xr3:uid="{ADAEC157-F33B-4232-8F83-03F831F9AB34}" name="Q7" dataDxfId="74"/>
    <tableColumn id="11" xr3:uid="{AC3CCD01-3A51-4BB1-8927-117BF7ADE5B0}" name="Q8" dataDxfId="73"/>
    <tableColumn id="12" xr3:uid="{918ADF83-F26E-4100-A879-4D328C85490C}" name="Q9" dataDxfId="72"/>
    <tableColumn id="13" xr3:uid="{D668178A-3995-431E-9057-D3B43FCF675E}" name="Q10" dataDxfId="71"/>
    <tableColumn id="14" xr3:uid="{F9BEDDAE-C544-428E-89AF-5249168056AE}" name="Puntaje total" dataDxfId="70">
      <calculatedColumnFormula>IF(COUNT(D4:M4)=0,"",SUM(D4:M4))</calculatedColumnFormula>
    </tableColumn>
    <tableColumn id="15" xr3:uid="{14A7C495-62C1-4B19-B5FC-EDB5AFCF7373}" name="Nivel de calidad" dataDxfId="69">
      <calculatedColumnFormula>IF(N4="","",IF(N4&gt;=16,"Alta calidad",IF(N4&gt;=11,"Media calidad","Baja calidad")))</calculatedColumnFormula>
    </tableColumn>
    <tableColumn id="16" xr3:uid="{AF8165E2-715D-4C43-A799-A5F389CFCF0A}" name="Observaciones de calidad" dataDxfId="6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8ED70C-268D-4DDB-A660-876BC2BF3BFD}" name="Table3" displayName="Table3" ref="A3:R15" totalsRowShown="0" headerRowDxfId="45" dataDxfId="44" headerRowBorderDxfId="64" tableBorderDxfId="65">
  <autoFilter ref="A3:R15" xr:uid="{00000000-0009-0000-0000-000006000000}"/>
  <tableColumns count="18">
    <tableColumn id="1" xr3:uid="{BF1D62EC-E609-4934-B407-AC0C5067FF0F}" name="ID" dataDxfId="63"/>
    <tableColumn id="2" xr3:uid="{F54A821C-001D-41CA-B721-65E3AA22F7EC}" name="Base de datos" dataDxfId="62"/>
    <tableColumn id="3" xr3:uid="{A3EB20EA-042E-4510-8B7D-A2879F5B4FF5}" name="Título completo" dataDxfId="61"/>
    <tableColumn id="4" xr3:uid="{4097F100-53F8-47E2-BB2C-0A336FA06F2F}" name="Año" dataDxfId="60"/>
    <tableColumn id="5" xr3:uid="{83F46B63-3238-4EDB-93C9-8F1F24B999D5}" name="Autores" dataDxfId="59"/>
    <tableColumn id="6" xr3:uid="{A375BFB3-1845-480C-A5BF-17458631FFB4}" name="DOI" dataDxfId="58"/>
    <tableColumn id="7" xr3:uid="{7BDC398C-BC18-43C0-8BAF-F6C0D71C4293}" name="Tipo de estudio" dataDxfId="57"/>
    <tableColumn id="8" xr3:uid="{CF832590-C0FD-4386-916D-A6553C051806}" name="Aporte principal" dataDxfId="56"/>
    <tableColumn id="9" xr3:uid="{BE51DA55-1840-4397-9957-158A4E5868B9}" name="Relación con Objetivo 1" dataDxfId="55"/>
    <tableColumn id="10" xr3:uid="{6D8A32BC-74C0-4E7A-B287-6644D7E51666}" name="Evidencia de IA" dataDxfId="54"/>
    <tableColumn id="11" xr3:uid="{8C356545-3762-4623-9A12-A661C62ED21B}" name="Evidencia de HCI/UX" dataDxfId="53"/>
    <tableColumn id="12" xr3:uid="{2F27E9D5-59AA-4E8D-8EC6-8C1AEB55832E}" name="Evidencia de mobile app" dataDxfId="52"/>
    <tableColumn id="13" xr3:uid="{9FC144C2-4DC4-4474-869A-77F6A1905B13}" name="Evidencia de design/framework/methodology/approach" dataDxfId="51"/>
    <tableColumn id="14" xr3:uid="{AA347B44-247A-43D0-9C48-8D731A8BF176}" name="Evidencia de agricultura" dataDxfId="50"/>
    <tableColumn id="15" xr3:uid="{D56C0B8E-106C-4F6F-9A30-2D6DEB12C37F}" name="Nivel de alineación con el objetivo" dataDxfId="49"/>
    <tableColumn id="16" xr3:uid="{5B28233B-6EB5-49D9-8E08-9B81066534A3}" name="Nivel de calidad" dataDxfId="48"/>
    <tableColumn id="17" xr3:uid="{5C565CCB-3D2F-4E5F-8190-A73583D8EEA2}" name="Decisión final (Incluir / Reserva)" dataDxfId="47"/>
    <tableColumn id="18" xr3:uid="{FCA4BF4D-D4ED-42AF-896B-63EAABDE62F7}" name="Justificación final" dataDxfId="4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Tesis/Bibliografia/Agallas%20foliares/s10971-026-07179-z.pdf" TargetMode="External"/><Relationship Id="rId13" Type="http://schemas.openxmlformats.org/officeDocument/2006/relationships/table" Target="../tables/table2.xml"/><Relationship Id="rId3" Type="http://schemas.openxmlformats.org/officeDocument/2006/relationships/hyperlink" Target="../../../Tesis/Bibliografia/Vision%20artificial%20y%20UAV/IEEE%20Xplore/Real-Time%20Detection%20and%20Identification%20of%20Plant%20Leaf%20Diseases%20using%20YOLOv4-tiny.url" TargetMode="External"/><Relationship Id="rId7" Type="http://schemas.openxmlformats.org/officeDocument/2006/relationships/hyperlink" Target="../../../Tesis/Bibliografia/Cercospora/rcch,+03_Validation+of+black+spot+%5b(Pseudocercospora+purpurea+(Cooke)+Deighton%5d+management+strategies+in+avocado+crops+in+norther.pdf" TargetMode="External"/><Relationship Id="rId12" Type="http://schemas.openxmlformats.org/officeDocument/2006/relationships/hyperlink" Target="../../../Tesis/Bibliografia/Cultivos%20comparativos/Simultaneously%20prediction%20of%20multiple%20wheat%20leaf%20phenotypes%20using.pdf" TargetMode="External"/><Relationship Id="rId2" Type="http://schemas.openxmlformats.org/officeDocument/2006/relationships/hyperlink" Target="../../../Tesis/Bibliografia/Vision%20artificial%20y%20UAV/IEEE%20Xplore/Plant%20Leaf%20Disease%20Detection_%20Classification_%20and%20Diagnosis%20Using%20Computer%20Vision%20and%20Artificial%20Intelligence_%20A%20Review.url" TargetMode="External"/><Relationship Id="rId1" Type="http://schemas.openxmlformats.org/officeDocument/2006/relationships/hyperlink" Target="../../../Tesis/Bibliografia/Vision%20artificial%20y%20UAV/IEEE%20Xplore/Unified%20Approach%20for%20Avocado%20Leaf%20Disease%20Classification_%20CNN-SVM%20Fusion.url" TargetMode="External"/><Relationship Id="rId6" Type="http://schemas.openxmlformats.org/officeDocument/2006/relationships/hyperlink" Target="../../../Tesis/Bibliografia/Tiz&#195;&#179;n%20de%20la%20hoja/ijpb-17-00010.pdf" TargetMode="External"/><Relationship Id="rId11" Type="http://schemas.openxmlformats.org/officeDocument/2006/relationships/hyperlink" Target="../../../Tesis/Bibliografia/Vision%20artificial%20y%20UAV/Real-time%20hass%20avocado%20ripeness%20detection%20using%20close-range%20UAV%20imagery%20and%20YOLO-based%20deep%20learning.pdf" TargetMode="External"/><Relationship Id="rId5" Type="http://schemas.openxmlformats.org/officeDocument/2006/relationships/hyperlink" Target="../../../Tesis/Bibliografia/Antracnosis/agriengineering-08-00340.pdf" TargetMode="External"/><Relationship Id="rId10" Type="http://schemas.openxmlformats.org/officeDocument/2006/relationships/hyperlink" Target="../../../Tesis/Bibliografia/Ro&#195;&#177;a/09_Rona_Scab_Belizaire_2024.url" TargetMode="External"/><Relationship Id="rId4" Type="http://schemas.openxmlformats.org/officeDocument/2006/relationships/hyperlink" Target="../../../Tesis/Bibliografia/Antracnosis/s41598-026-50025-z.pdf" TargetMode="External"/><Relationship Id="rId9" Type="http://schemas.openxmlformats.org/officeDocument/2006/relationships/hyperlink" Target="../../../Tesis/Bibliografia/_Bibliografia%20adicional%202026/06_Arana_roja_Oligonychus_punicae_Oliveira_2021.ur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zoomScale="115" workbookViewId="0">
      <selection activeCell="B39" sqref="B39"/>
    </sheetView>
  </sheetViews>
  <sheetFormatPr defaultColWidth="8.90625" defaultRowHeight="14.5" x14ac:dyDescent="0.35"/>
  <cols>
    <col min="1" max="1" width="34" customWidth="1"/>
    <col min="2" max="2" width="55" customWidth="1"/>
  </cols>
  <sheetData>
    <row r="1" spans="1:2" ht="18" customHeight="1" x14ac:dyDescent="0.35">
      <c r="A1" s="32" t="s">
        <v>40</v>
      </c>
      <c r="B1" s="25"/>
    </row>
    <row r="2" spans="1:2" x14ac:dyDescent="0.35">
      <c r="A2" s="31" t="s">
        <v>41</v>
      </c>
      <c r="B2" s="25"/>
    </row>
    <row r="4" spans="1:2" ht="39" x14ac:dyDescent="0.35">
      <c r="A4" s="8" t="s">
        <v>42</v>
      </c>
      <c r="B4" s="9" t="s">
        <v>43</v>
      </c>
    </row>
    <row r="5" spans="1:2" ht="27.65" customHeight="1" x14ac:dyDescent="0.35">
      <c r="A5" s="8" t="s">
        <v>44</v>
      </c>
      <c r="B5" s="9" t="s">
        <v>45</v>
      </c>
    </row>
    <row r="6" spans="1:2" ht="27.65" customHeight="1" x14ac:dyDescent="0.35">
      <c r="A6" s="8" t="s">
        <v>46</v>
      </c>
      <c r="B6" s="9" t="s">
        <v>47</v>
      </c>
    </row>
    <row r="8" spans="1:2" x14ac:dyDescent="0.35">
      <c r="A8" s="8" t="s">
        <v>48</v>
      </c>
    </row>
    <row r="9" spans="1:2" ht="26" x14ac:dyDescent="0.35">
      <c r="A9" s="14" t="s">
        <v>49</v>
      </c>
      <c r="B9" s="9" t="s">
        <v>50</v>
      </c>
    </row>
    <row r="10" spans="1:2" ht="39" x14ac:dyDescent="0.35">
      <c r="A10" s="14" t="s">
        <v>49</v>
      </c>
      <c r="B10" s="9" t="s">
        <v>51</v>
      </c>
    </row>
    <row r="11" spans="1:2" ht="27.65" customHeight="1" x14ac:dyDescent="0.35">
      <c r="A11" s="14" t="s">
        <v>49</v>
      </c>
      <c r="B11" s="9" t="s">
        <v>52</v>
      </c>
    </row>
    <row r="12" spans="1:2" ht="26" x14ac:dyDescent="0.35">
      <c r="A12" s="14" t="s">
        <v>49</v>
      </c>
      <c r="B12" s="9" t="s">
        <v>53</v>
      </c>
    </row>
    <row r="13" spans="1:2" x14ac:dyDescent="0.35">
      <c r="A13" s="14" t="s">
        <v>49</v>
      </c>
      <c r="B13" s="9" t="s">
        <v>54</v>
      </c>
    </row>
    <row r="15" spans="1:2" x14ac:dyDescent="0.35">
      <c r="A15" s="8" t="s">
        <v>55</v>
      </c>
    </row>
    <row r="16" spans="1:2" ht="26" x14ac:dyDescent="0.35">
      <c r="A16" s="14" t="s">
        <v>49</v>
      </c>
      <c r="B16" s="9" t="s">
        <v>56</v>
      </c>
    </row>
    <row r="17" spans="1:2" ht="26" x14ac:dyDescent="0.35">
      <c r="A17" s="14" t="s">
        <v>49</v>
      </c>
      <c r="B17" s="9" t="s">
        <v>57</v>
      </c>
    </row>
    <row r="18" spans="1:2" x14ac:dyDescent="0.35">
      <c r="A18" s="14" t="s">
        <v>49</v>
      </c>
      <c r="B18" s="9" t="s">
        <v>58</v>
      </c>
    </row>
    <row r="19" spans="1:2" x14ac:dyDescent="0.35">
      <c r="A19" s="14" t="s">
        <v>49</v>
      </c>
      <c r="B19" s="9" t="s">
        <v>59</v>
      </c>
    </row>
    <row r="20" spans="1:2" ht="26" x14ac:dyDescent="0.35">
      <c r="A20" s="14" t="s">
        <v>49</v>
      </c>
      <c r="B20" s="9" t="s">
        <v>60</v>
      </c>
    </row>
    <row r="22" spans="1:2" x14ac:dyDescent="0.35">
      <c r="A22" s="8" t="s">
        <v>61</v>
      </c>
      <c r="B22" s="9"/>
    </row>
    <row r="23" spans="1:2" x14ac:dyDescent="0.35">
      <c r="A23" s="9" t="s">
        <v>62</v>
      </c>
      <c r="B23" s="9" t="s">
        <v>63</v>
      </c>
    </row>
    <row r="24" spans="1:2" x14ac:dyDescent="0.35">
      <c r="A24" s="10" t="s">
        <v>64</v>
      </c>
      <c r="B24" s="13" t="s">
        <v>65</v>
      </c>
    </row>
    <row r="25" spans="1:2" x14ac:dyDescent="0.35">
      <c r="A25" s="10" t="s">
        <v>66</v>
      </c>
      <c r="B25" s="13" t="s">
        <v>67</v>
      </c>
    </row>
    <row r="26" spans="1:2" x14ac:dyDescent="0.35">
      <c r="A26" s="9" t="s">
        <v>68</v>
      </c>
      <c r="B26" s="9" t="s">
        <v>69</v>
      </c>
    </row>
    <row r="27" spans="1:2" x14ac:dyDescent="0.35">
      <c r="A27" s="9" t="s">
        <v>70</v>
      </c>
      <c r="B27" s="9" t="s">
        <v>71</v>
      </c>
    </row>
    <row r="28" spans="1:2" x14ac:dyDescent="0.35">
      <c r="A28" s="10" t="s">
        <v>72</v>
      </c>
      <c r="B28" s="13" t="s">
        <v>73</v>
      </c>
    </row>
    <row r="30" spans="1:2" ht="27.65" customHeight="1" x14ac:dyDescent="0.35">
      <c r="A30" s="8" t="s">
        <v>74</v>
      </c>
      <c r="B30" s="9" t="s">
        <v>75</v>
      </c>
    </row>
    <row r="31" spans="1:2" ht="27.65" customHeight="1" x14ac:dyDescent="0.35">
      <c r="A31" s="8" t="s">
        <v>76</v>
      </c>
      <c r="B31" s="9" t="s">
        <v>77</v>
      </c>
    </row>
    <row r="32" spans="1:2" ht="27.65" customHeight="1" x14ac:dyDescent="0.35">
      <c r="A32" s="8" t="s">
        <v>78</v>
      </c>
      <c r="B32" s="9" t="s">
        <v>79</v>
      </c>
    </row>
    <row r="33" spans="1:2" x14ac:dyDescent="0.35">
      <c r="A33" s="11" t="s">
        <v>80</v>
      </c>
      <c r="B33" s="9" t="s">
        <v>81</v>
      </c>
    </row>
    <row r="34" spans="1:2" x14ac:dyDescent="0.35">
      <c r="A34" s="11" t="s">
        <v>82</v>
      </c>
      <c r="B34" s="9" t="s">
        <v>83</v>
      </c>
    </row>
    <row r="35" spans="1:2" ht="26" x14ac:dyDescent="0.35">
      <c r="A35" s="11" t="s">
        <v>84</v>
      </c>
      <c r="B35" s="9" t="s">
        <v>85</v>
      </c>
    </row>
    <row r="36" spans="1:2" ht="26" x14ac:dyDescent="0.35">
      <c r="A36" s="11" t="s">
        <v>86</v>
      </c>
      <c r="B36" s="9" t="s">
        <v>87</v>
      </c>
    </row>
    <row r="37" spans="1:2" ht="26" x14ac:dyDescent="0.35">
      <c r="A37" s="11" t="s">
        <v>88</v>
      </c>
      <c r="B37" s="9" t="s">
        <v>89</v>
      </c>
    </row>
    <row r="38" spans="1:2" ht="26" x14ac:dyDescent="0.35">
      <c r="A38" s="11" t="s">
        <v>90</v>
      </c>
      <c r="B38" s="9" t="s">
        <v>91</v>
      </c>
    </row>
    <row r="39" spans="1:2" ht="26" x14ac:dyDescent="0.35">
      <c r="A39" s="11" t="s">
        <v>92</v>
      </c>
      <c r="B39" s="9" t="s">
        <v>93</v>
      </c>
    </row>
    <row r="40" spans="1:2" ht="26" x14ac:dyDescent="0.35">
      <c r="A40" s="11" t="s">
        <v>94</v>
      </c>
      <c r="B40" s="9" t="s">
        <v>95</v>
      </c>
    </row>
    <row r="41" spans="1:2" ht="26" x14ac:dyDescent="0.35">
      <c r="A41" s="11" t="s">
        <v>96</v>
      </c>
      <c r="B41" s="9" t="s">
        <v>97</v>
      </c>
    </row>
    <row r="42" spans="1:2" ht="26" x14ac:dyDescent="0.35">
      <c r="A42" s="11" t="s">
        <v>98</v>
      </c>
      <c r="B42" s="9" t="s">
        <v>99</v>
      </c>
    </row>
    <row r="43" spans="1:2" ht="26" x14ac:dyDescent="0.35">
      <c r="A43" s="11" t="s">
        <v>100</v>
      </c>
      <c r="B43" s="9" t="s">
        <v>101</v>
      </c>
    </row>
    <row r="44" spans="1:2" x14ac:dyDescent="0.35">
      <c r="A44" s="15" t="s">
        <v>102</v>
      </c>
      <c r="B44" s="12"/>
    </row>
    <row r="46" spans="1:2" ht="27.65" customHeight="1" x14ac:dyDescent="0.35">
      <c r="A46" s="8" t="s">
        <v>103</v>
      </c>
      <c r="B46" s="7" t="s">
        <v>104</v>
      </c>
    </row>
    <row r="48" spans="1:2" x14ac:dyDescent="0.35">
      <c r="A48" s="30"/>
      <c r="B48" s="25"/>
    </row>
  </sheetData>
  <mergeCells count="3">
    <mergeCell ref="A48:B4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showGridLines="0" workbookViewId="0">
      <selection activeCell="A4" sqref="A4:XFD4"/>
    </sheetView>
  </sheetViews>
  <sheetFormatPr defaultColWidth="8.90625" defaultRowHeight="14.5" x14ac:dyDescent="0.35"/>
  <cols>
    <col min="1" max="1" width="12" customWidth="1"/>
    <col min="2" max="2" width="20" customWidth="1"/>
    <col min="3" max="3" width="16" customWidth="1"/>
    <col min="4" max="4" width="55" customWidth="1"/>
    <col min="5" max="5" width="20" customWidth="1"/>
    <col min="6" max="6" width="20.26953125" customWidth="1"/>
    <col min="7" max="7" width="18.90625" customWidth="1"/>
    <col min="8" max="8" width="14.81640625" customWidth="1"/>
    <col min="9" max="9" width="28" customWidth="1"/>
  </cols>
  <sheetData>
    <row r="1" spans="1:9" ht="18" customHeight="1" x14ac:dyDescent="0.35">
      <c r="A1" s="32" t="s">
        <v>105</v>
      </c>
      <c r="B1" s="25"/>
      <c r="C1" s="25"/>
      <c r="D1" s="25"/>
      <c r="E1" s="25"/>
      <c r="F1" s="25"/>
      <c r="G1" s="25"/>
      <c r="H1" s="25"/>
      <c r="I1" s="25"/>
    </row>
    <row r="2" spans="1:9" x14ac:dyDescent="0.35">
      <c r="A2" s="31" t="s">
        <v>106</v>
      </c>
      <c r="B2" s="25"/>
      <c r="C2" s="25"/>
      <c r="D2" s="25"/>
      <c r="E2" s="25"/>
      <c r="F2" s="25"/>
      <c r="G2" s="25"/>
      <c r="H2" s="25"/>
      <c r="I2" s="25"/>
    </row>
    <row r="4" spans="1:9" s="38" customFormat="1" ht="28.75" customHeight="1" x14ac:dyDescent="0.35">
      <c r="A4" s="57" t="s">
        <v>107</v>
      </c>
      <c r="B4" s="58" t="s">
        <v>108</v>
      </c>
      <c r="C4" s="58" t="s">
        <v>5</v>
      </c>
      <c r="D4" s="58" t="s">
        <v>109</v>
      </c>
      <c r="E4" s="58" t="s">
        <v>110</v>
      </c>
      <c r="F4" s="58" t="s">
        <v>111</v>
      </c>
      <c r="G4" s="58" t="s">
        <v>112</v>
      </c>
      <c r="H4" s="58" t="s">
        <v>113</v>
      </c>
      <c r="I4" s="59" t="s">
        <v>114</v>
      </c>
    </row>
    <row r="5" spans="1:9" ht="55.25" customHeight="1" x14ac:dyDescent="0.35">
      <c r="A5" s="49">
        <v>1</v>
      </c>
      <c r="B5" s="50" t="s">
        <v>115</v>
      </c>
      <c r="C5" s="50" t="s">
        <v>12</v>
      </c>
      <c r="D5" s="50" t="s">
        <v>116</v>
      </c>
      <c r="E5" s="50" t="s">
        <v>117</v>
      </c>
      <c r="F5" s="50" t="s">
        <v>118</v>
      </c>
      <c r="G5" s="50" t="s">
        <v>119</v>
      </c>
      <c r="H5" s="51"/>
      <c r="I5" s="52" t="s">
        <v>120</v>
      </c>
    </row>
    <row r="6" spans="1:9" ht="27.65" customHeight="1" x14ac:dyDescent="0.35">
      <c r="A6" s="49">
        <v>2</v>
      </c>
      <c r="B6" s="50" t="s">
        <v>121</v>
      </c>
      <c r="C6" s="50" t="s">
        <v>12</v>
      </c>
      <c r="D6" s="50" t="s">
        <v>122</v>
      </c>
      <c r="E6" s="50" t="s">
        <v>117</v>
      </c>
      <c r="F6" s="50" t="s">
        <v>118</v>
      </c>
      <c r="G6" s="50" t="s">
        <v>119</v>
      </c>
      <c r="H6" s="51"/>
      <c r="I6" s="52" t="s">
        <v>123</v>
      </c>
    </row>
    <row r="7" spans="1:9" ht="27.65" customHeight="1" x14ac:dyDescent="0.35">
      <c r="A7" s="49">
        <v>3</v>
      </c>
      <c r="B7" s="50" t="s">
        <v>124</v>
      </c>
      <c r="C7" s="50" t="s">
        <v>12</v>
      </c>
      <c r="D7" s="50" t="s">
        <v>125</v>
      </c>
      <c r="E7" s="50" t="s">
        <v>117</v>
      </c>
      <c r="F7" s="50" t="s">
        <v>118</v>
      </c>
      <c r="G7" s="50" t="s">
        <v>119</v>
      </c>
      <c r="H7" s="51"/>
      <c r="I7" s="52" t="s">
        <v>126</v>
      </c>
    </row>
    <row r="8" spans="1:9" ht="27.65" customHeight="1" x14ac:dyDescent="0.35">
      <c r="A8" s="49">
        <v>4</v>
      </c>
      <c r="B8" s="50" t="s">
        <v>127</v>
      </c>
      <c r="C8" s="50" t="s">
        <v>12</v>
      </c>
      <c r="D8" s="50" t="s">
        <v>128</v>
      </c>
      <c r="E8" s="50" t="s">
        <v>117</v>
      </c>
      <c r="F8" s="50" t="s">
        <v>118</v>
      </c>
      <c r="G8" s="50" t="s">
        <v>119</v>
      </c>
      <c r="H8" s="51"/>
      <c r="I8" s="52" t="s">
        <v>129</v>
      </c>
    </row>
    <row r="9" spans="1:9" ht="27.65" customHeight="1" x14ac:dyDescent="0.35">
      <c r="A9" s="49">
        <v>5</v>
      </c>
      <c r="B9" s="50" t="s">
        <v>130</v>
      </c>
      <c r="C9" s="50" t="s">
        <v>12</v>
      </c>
      <c r="D9" s="50" t="s">
        <v>131</v>
      </c>
      <c r="E9" s="50" t="s">
        <v>117</v>
      </c>
      <c r="F9" s="50" t="s">
        <v>118</v>
      </c>
      <c r="G9" s="50" t="s">
        <v>119</v>
      </c>
      <c r="H9" s="51"/>
      <c r="I9" s="52" t="s">
        <v>132</v>
      </c>
    </row>
    <row r="10" spans="1:9" ht="27.65" customHeight="1" x14ac:dyDescent="0.35">
      <c r="A10" s="49">
        <v>6</v>
      </c>
      <c r="B10" s="50" t="s">
        <v>133</v>
      </c>
      <c r="C10" s="50" t="s">
        <v>12</v>
      </c>
      <c r="D10" s="50" t="s">
        <v>134</v>
      </c>
      <c r="E10" s="50" t="s">
        <v>117</v>
      </c>
      <c r="F10" s="50" t="s">
        <v>118</v>
      </c>
      <c r="G10" s="50" t="s">
        <v>119</v>
      </c>
      <c r="H10" s="51"/>
      <c r="I10" s="52" t="s">
        <v>135</v>
      </c>
    </row>
    <row r="11" spans="1:9" ht="27.65" customHeight="1" x14ac:dyDescent="0.35">
      <c r="A11" s="49">
        <v>7</v>
      </c>
      <c r="B11" s="50" t="s">
        <v>136</v>
      </c>
      <c r="C11" s="50" t="s">
        <v>15</v>
      </c>
      <c r="D11" s="50" t="s">
        <v>137</v>
      </c>
      <c r="E11" s="50" t="s">
        <v>138</v>
      </c>
      <c r="F11" s="50" t="s">
        <v>118</v>
      </c>
      <c r="G11" s="50" t="s">
        <v>119</v>
      </c>
      <c r="H11" s="51"/>
      <c r="I11" s="52" t="s">
        <v>139</v>
      </c>
    </row>
    <row r="12" spans="1:9" ht="29" x14ac:dyDescent="0.35">
      <c r="A12" s="49">
        <v>8</v>
      </c>
      <c r="B12" s="50" t="s">
        <v>136</v>
      </c>
      <c r="C12" s="50" t="s">
        <v>15</v>
      </c>
      <c r="D12" s="50" t="s">
        <v>140</v>
      </c>
      <c r="E12" s="50" t="s">
        <v>138</v>
      </c>
      <c r="F12" s="50" t="s">
        <v>118</v>
      </c>
      <c r="G12" s="50" t="s">
        <v>119</v>
      </c>
      <c r="H12" s="51"/>
      <c r="I12" s="52" t="s">
        <v>141</v>
      </c>
    </row>
    <row r="13" spans="1:9" ht="29" x14ac:dyDescent="0.35">
      <c r="A13" s="49">
        <v>9</v>
      </c>
      <c r="B13" s="50" t="s">
        <v>142</v>
      </c>
      <c r="C13" s="50" t="s">
        <v>15</v>
      </c>
      <c r="D13" s="50" t="s">
        <v>143</v>
      </c>
      <c r="E13" s="50" t="s">
        <v>138</v>
      </c>
      <c r="F13" s="50" t="s">
        <v>118</v>
      </c>
      <c r="G13" s="50" t="s">
        <v>119</v>
      </c>
      <c r="H13" s="51"/>
      <c r="I13" s="52" t="s">
        <v>144</v>
      </c>
    </row>
    <row r="14" spans="1:9" ht="43.5" x14ac:dyDescent="0.35">
      <c r="A14" s="53">
        <v>10</v>
      </c>
      <c r="B14" s="54" t="s">
        <v>145</v>
      </c>
      <c r="C14" s="54" t="s">
        <v>146</v>
      </c>
      <c r="D14" s="54" t="s">
        <v>147</v>
      </c>
      <c r="E14" s="54" t="s">
        <v>117</v>
      </c>
      <c r="F14" s="54" t="s">
        <v>118</v>
      </c>
      <c r="G14" s="54" t="s">
        <v>119</v>
      </c>
      <c r="H14" s="55"/>
      <c r="I14" s="56" t="s">
        <v>148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1"/>
  <sheetViews>
    <sheetView zoomScale="95" zoomScaleNormal="95" workbookViewId="0">
      <selection activeCell="A3" sqref="A3:XFD3"/>
    </sheetView>
  </sheetViews>
  <sheetFormatPr defaultColWidth="8.90625" defaultRowHeight="14.5" x14ac:dyDescent="0.35"/>
  <cols>
    <col min="1" max="1" width="12" customWidth="1"/>
    <col min="2" max="2" width="16" customWidth="1"/>
    <col min="3" max="3" width="55" customWidth="1"/>
    <col min="4" max="4" width="24" customWidth="1"/>
    <col min="5" max="5" width="12" customWidth="1"/>
    <col min="6" max="6" width="24" customWidth="1"/>
    <col min="7" max="7" width="45" customWidth="1"/>
    <col min="8" max="8" width="55" customWidth="1"/>
    <col min="9" max="9" width="18.90625" customWidth="1"/>
    <col min="10" max="10" width="55" customWidth="1"/>
    <col min="11" max="11" width="22" customWidth="1"/>
    <col min="12" max="12" width="19" customWidth="1"/>
  </cols>
  <sheetData>
    <row r="1" spans="1:12" ht="17.5" customHeight="1" x14ac:dyDescent="0.35">
      <c r="A1" s="29" t="s">
        <v>149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28.75" customHeight="1" x14ac:dyDescent="0.35">
      <c r="A2" s="33" t="s">
        <v>150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s="38" customFormat="1" ht="28.75" customHeight="1" x14ac:dyDescent="0.35">
      <c r="A3" s="37" t="s">
        <v>151</v>
      </c>
      <c r="B3" s="37" t="s">
        <v>5</v>
      </c>
      <c r="C3" s="37" t="s">
        <v>152</v>
      </c>
      <c r="D3" s="37" t="s">
        <v>153</v>
      </c>
      <c r="E3" s="37" t="s">
        <v>154</v>
      </c>
      <c r="F3" s="37" t="s">
        <v>155</v>
      </c>
      <c r="G3" s="37" t="s">
        <v>156</v>
      </c>
      <c r="H3" s="37" t="s">
        <v>157</v>
      </c>
      <c r="I3" s="37" t="s">
        <v>158</v>
      </c>
      <c r="J3" s="37" t="s">
        <v>159</v>
      </c>
      <c r="K3" s="37" t="s">
        <v>160</v>
      </c>
      <c r="L3" s="37" t="s">
        <v>161</v>
      </c>
    </row>
    <row r="4" spans="1:12" ht="33.65" customHeight="1" x14ac:dyDescent="0.35">
      <c r="A4" s="35" t="s">
        <v>162</v>
      </c>
      <c r="B4" s="35" t="s">
        <v>15</v>
      </c>
      <c r="C4" s="35" t="s">
        <v>163</v>
      </c>
      <c r="D4" s="35" t="s">
        <v>164</v>
      </c>
      <c r="E4" s="35">
        <v>2024</v>
      </c>
      <c r="F4" s="35" t="s">
        <v>165</v>
      </c>
      <c r="G4" s="35" t="s">
        <v>166</v>
      </c>
      <c r="H4" s="35" t="s">
        <v>167</v>
      </c>
      <c r="I4" s="35" t="s">
        <v>168</v>
      </c>
      <c r="J4" s="35" t="s">
        <v>169</v>
      </c>
      <c r="K4" s="35" t="s">
        <v>170</v>
      </c>
      <c r="L4" s="48" t="s">
        <v>171</v>
      </c>
    </row>
    <row r="5" spans="1:12" ht="33.65" customHeight="1" x14ac:dyDescent="0.35">
      <c r="A5" s="35" t="s">
        <v>172</v>
      </c>
      <c r="B5" s="35" t="s">
        <v>15</v>
      </c>
      <c r="C5" s="35" t="s">
        <v>173</v>
      </c>
      <c r="D5" s="35" t="s">
        <v>174</v>
      </c>
      <c r="E5" s="35">
        <v>2024</v>
      </c>
      <c r="F5" s="35" t="s">
        <v>175</v>
      </c>
      <c r="G5" s="35" t="s">
        <v>176</v>
      </c>
      <c r="H5" s="35" t="s">
        <v>177</v>
      </c>
      <c r="I5" s="35" t="s">
        <v>178</v>
      </c>
      <c r="J5" s="35" t="s">
        <v>179</v>
      </c>
      <c r="K5" s="35" t="s">
        <v>170</v>
      </c>
      <c r="L5" s="48" t="s">
        <v>180</v>
      </c>
    </row>
    <row r="6" spans="1:12" ht="33.65" customHeight="1" x14ac:dyDescent="0.35">
      <c r="A6" s="35" t="s">
        <v>181</v>
      </c>
      <c r="B6" s="35" t="s">
        <v>15</v>
      </c>
      <c r="C6" s="35" t="s">
        <v>182</v>
      </c>
      <c r="D6" s="35" t="s">
        <v>183</v>
      </c>
      <c r="E6" s="35">
        <v>2021</v>
      </c>
      <c r="F6" s="35" t="s">
        <v>184</v>
      </c>
      <c r="G6" s="35" t="s">
        <v>185</v>
      </c>
      <c r="H6" s="35" t="s">
        <v>186</v>
      </c>
      <c r="I6" s="35" t="s">
        <v>168</v>
      </c>
      <c r="J6" s="35" t="s">
        <v>187</v>
      </c>
      <c r="K6" s="35" t="s">
        <v>170</v>
      </c>
      <c r="L6" s="48" t="s">
        <v>188</v>
      </c>
    </row>
    <row r="7" spans="1:12" ht="33.65" customHeight="1" x14ac:dyDescent="0.35">
      <c r="A7" s="35" t="s">
        <v>189</v>
      </c>
      <c r="B7" s="35" t="s">
        <v>190</v>
      </c>
      <c r="C7" s="35" t="s">
        <v>191</v>
      </c>
      <c r="D7" s="35" t="s">
        <v>192</v>
      </c>
      <c r="E7" s="35">
        <v>2026</v>
      </c>
      <c r="F7" s="35" t="s">
        <v>193</v>
      </c>
      <c r="G7" s="35" t="s">
        <v>194</v>
      </c>
      <c r="H7" s="35" t="s">
        <v>195</v>
      </c>
      <c r="I7" s="35" t="s">
        <v>196</v>
      </c>
      <c r="J7" s="35" t="s">
        <v>190</v>
      </c>
      <c r="K7" s="35" t="s">
        <v>170</v>
      </c>
      <c r="L7" s="48" t="s">
        <v>197</v>
      </c>
    </row>
    <row r="8" spans="1:12" ht="33.65" customHeight="1" x14ac:dyDescent="0.35">
      <c r="A8" s="35" t="s">
        <v>198</v>
      </c>
      <c r="B8" s="35" t="s">
        <v>199</v>
      </c>
      <c r="C8" s="35" t="s">
        <v>200</v>
      </c>
      <c r="D8" s="35" t="s">
        <v>201</v>
      </c>
      <c r="E8" s="35">
        <v>2026</v>
      </c>
      <c r="F8" s="35"/>
      <c r="G8" s="35" t="s">
        <v>202</v>
      </c>
      <c r="H8" s="35" t="s">
        <v>203</v>
      </c>
      <c r="I8" s="35" t="s">
        <v>196</v>
      </c>
      <c r="J8" s="35" t="s">
        <v>199</v>
      </c>
      <c r="K8" s="35" t="s">
        <v>170</v>
      </c>
      <c r="L8" s="48" t="s">
        <v>204</v>
      </c>
    </row>
    <row r="9" spans="1:12" ht="33.65" customHeight="1" x14ac:dyDescent="0.35">
      <c r="A9" s="35" t="s">
        <v>205</v>
      </c>
      <c r="B9" s="35" t="s">
        <v>206</v>
      </c>
      <c r="C9" s="35" t="s">
        <v>207</v>
      </c>
      <c r="D9" s="35" t="s">
        <v>208</v>
      </c>
      <c r="E9" s="35">
        <v>2026</v>
      </c>
      <c r="F9" s="35"/>
      <c r="G9" s="35" t="s">
        <v>209</v>
      </c>
      <c r="H9" s="35" t="s">
        <v>210</v>
      </c>
      <c r="I9" s="35" t="s">
        <v>196</v>
      </c>
      <c r="J9" s="35" t="s">
        <v>206</v>
      </c>
      <c r="K9" s="35" t="s">
        <v>170</v>
      </c>
      <c r="L9" s="48" t="s">
        <v>211</v>
      </c>
    </row>
    <row r="10" spans="1:12" ht="33.65" customHeight="1" x14ac:dyDescent="0.35">
      <c r="A10" s="35" t="s">
        <v>212</v>
      </c>
      <c r="B10" s="35" t="s">
        <v>213</v>
      </c>
      <c r="C10" s="35" t="s">
        <v>214</v>
      </c>
      <c r="D10" s="35" t="s">
        <v>215</v>
      </c>
      <c r="E10" s="35">
        <v>2020</v>
      </c>
      <c r="F10" s="35" t="s">
        <v>216</v>
      </c>
      <c r="G10" s="35" t="s">
        <v>217</v>
      </c>
      <c r="H10" s="35" t="s">
        <v>218</v>
      </c>
      <c r="I10" s="35" t="s">
        <v>196</v>
      </c>
      <c r="J10" s="35" t="s">
        <v>213</v>
      </c>
      <c r="K10" s="35" t="s">
        <v>170</v>
      </c>
      <c r="L10" s="48" t="s">
        <v>219</v>
      </c>
    </row>
    <row r="11" spans="1:12" ht="33.65" customHeight="1" x14ac:dyDescent="0.35">
      <c r="A11" s="35" t="s">
        <v>220</v>
      </c>
      <c r="B11" s="35" t="s">
        <v>221</v>
      </c>
      <c r="C11" s="35" t="s">
        <v>222</v>
      </c>
      <c r="D11" s="35" t="s">
        <v>223</v>
      </c>
      <c r="E11" s="35">
        <v>2026</v>
      </c>
      <c r="F11" s="35" t="s">
        <v>224</v>
      </c>
      <c r="G11" s="35" t="s">
        <v>225</v>
      </c>
      <c r="H11" s="35" t="s">
        <v>226</v>
      </c>
      <c r="I11" s="35" t="s">
        <v>196</v>
      </c>
      <c r="J11" s="35" t="s">
        <v>221</v>
      </c>
      <c r="K11" s="35" t="s">
        <v>170</v>
      </c>
      <c r="L11" s="48" t="s">
        <v>227</v>
      </c>
    </row>
    <row r="12" spans="1:12" ht="33.65" customHeight="1" x14ac:dyDescent="0.35">
      <c r="A12" s="35" t="s">
        <v>228</v>
      </c>
      <c r="B12" s="35" t="s">
        <v>229</v>
      </c>
      <c r="C12" s="35" t="s">
        <v>230</v>
      </c>
      <c r="D12" s="35" t="s">
        <v>231</v>
      </c>
      <c r="E12" s="35">
        <v>2021</v>
      </c>
      <c r="F12" s="35" t="s">
        <v>232</v>
      </c>
      <c r="G12" s="35" t="s">
        <v>233</v>
      </c>
      <c r="H12" s="35" t="s">
        <v>234</v>
      </c>
      <c r="I12" s="35" t="s">
        <v>196</v>
      </c>
      <c r="J12" s="35" t="s">
        <v>229</v>
      </c>
      <c r="K12" s="35" t="s">
        <v>170</v>
      </c>
      <c r="L12" s="48" t="s">
        <v>235</v>
      </c>
    </row>
    <row r="13" spans="1:12" ht="33.65" customHeight="1" x14ac:dyDescent="0.35">
      <c r="A13" s="35" t="s">
        <v>236</v>
      </c>
      <c r="B13" s="35" t="s">
        <v>237</v>
      </c>
      <c r="C13" s="35" t="s">
        <v>238</v>
      </c>
      <c r="D13" s="35" t="s">
        <v>239</v>
      </c>
      <c r="E13" s="35">
        <v>2024</v>
      </c>
      <c r="F13" s="35" t="s">
        <v>240</v>
      </c>
      <c r="G13" s="35" t="s">
        <v>241</v>
      </c>
      <c r="H13" s="35" t="s">
        <v>242</v>
      </c>
      <c r="I13" s="35" t="s">
        <v>243</v>
      </c>
      <c r="J13" s="35" t="s">
        <v>237</v>
      </c>
      <c r="K13" s="35" t="s">
        <v>170</v>
      </c>
      <c r="L13" s="48" t="s">
        <v>244</v>
      </c>
    </row>
    <row r="14" spans="1:12" ht="33.65" customHeight="1" x14ac:dyDescent="0.35">
      <c r="A14" s="35" t="s">
        <v>245</v>
      </c>
      <c r="B14" s="35" t="s">
        <v>246</v>
      </c>
      <c r="C14" s="35" t="s">
        <v>247</v>
      </c>
      <c r="D14" s="35" t="s">
        <v>248</v>
      </c>
      <c r="E14" s="35">
        <v>2026</v>
      </c>
      <c r="F14" s="35"/>
      <c r="G14" s="35" t="s">
        <v>249</v>
      </c>
      <c r="H14" s="35" t="s">
        <v>250</v>
      </c>
      <c r="I14" s="35" t="s">
        <v>196</v>
      </c>
      <c r="J14" s="35" t="s">
        <v>251</v>
      </c>
      <c r="K14" s="35" t="s">
        <v>170</v>
      </c>
      <c r="L14" s="48" t="s">
        <v>252</v>
      </c>
    </row>
    <row r="15" spans="1:12" ht="33.65" customHeight="1" x14ac:dyDescent="0.35">
      <c r="A15" s="35" t="s">
        <v>253</v>
      </c>
      <c r="B15" s="35" t="s">
        <v>190</v>
      </c>
      <c r="C15" s="35" t="s">
        <v>254</v>
      </c>
      <c r="D15" s="35" t="s">
        <v>255</v>
      </c>
      <c r="E15" s="35">
        <v>2026</v>
      </c>
      <c r="F15" s="35"/>
      <c r="G15" s="35" t="s">
        <v>256</v>
      </c>
      <c r="H15" s="35" t="s">
        <v>257</v>
      </c>
      <c r="I15" s="35" t="s">
        <v>196</v>
      </c>
      <c r="J15" s="35" t="s">
        <v>251</v>
      </c>
      <c r="K15" s="35" t="s">
        <v>170</v>
      </c>
      <c r="L15" s="48" t="s">
        <v>258</v>
      </c>
    </row>
    <row r="16" spans="1:12" ht="33.65" customHeight="1" x14ac:dyDescent="0.35"/>
    <row r="17" ht="33.65" customHeight="1" x14ac:dyDescent="0.35"/>
    <row r="18" ht="33.65" customHeight="1" x14ac:dyDescent="0.35"/>
    <row r="19" ht="33.65" customHeight="1" x14ac:dyDescent="0.35"/>
    <row r="20" ht="33.65" customHeight="1" x14ac:dyDescent="0.35"/>
    <row r="21" ht="33.65" customHeight="1" x14ac:dyDescent="0.35"/>
    <row r="22" ht="33.65" customHeight="1" x14ac:dyDescent="0.35"/>
    <row r="23" ht="33.65" customHeight="1" x14ac:dyDescent="0.35"/>
    <row r="24" ht="33.65" customHeight="1" x14ac:dyDescent="0.35"/>
    <row r="25" ht="33.65" customHeight="1" x14ac:dyDescent="0.35"/>
    <row r="26" ht="33.65" customHeight="1" x14ac:dyDescent="0.35"/>
    <row r="27" ht="33.65" customHeight="1" x14ac:dyDescent="0.35"/>
    <row r="28" ht="33.65" customHeight="1" x14ac:dyDescent="0.35"/>
    <row r="29" ht="33.65" customHeight="1" x14ac:dyDescent="0.35"/>
    <row r="30" ht="33.65" customHeight="1" x14ac:dyDescent="0.35"/>
    <row r="31" ht="33.65" customHeight="1" x14ac:dyDescent="0.35"/>
    <row r="32" ht="33.65" customHeight="1" x14ac:dyDescent="0.35"/>
    <row r="33" ht="33.65" customHeight="1" x14ac:dyDescent="0.35"/>
    <row r="34" ht="33.65" customHeight="1" x14ac:dyDescent="0.35"/>
    <row r="35" ht="33.65" customHeight="1" x14ac:dyDescent="0.35"/>
    <row r="36" ht="33.65" customHeight="1" x14ac:dyDescent="0.35"/>
    <row r="37" ht="33.65" customHeight="1" x14ac:dyDescent="0.35"/>
    <row r="38" ht="33.65" customHeight="1" x14ac:dyDescent="0.35"/>
    <row r="39" ht="33.65" customHeight="1" x14ac:dyDescent="0.35"/>
    <row r="40" ht="33.65" customHeight="1" x14ac:dyDescent="0.35"/>
    <row r="41" ht="33.65" customHeight="1" x14ac:dyDescent="0.35"/>
    <row r="42" ht="33.65" customHeight="1" x14ac:dyDescent="0.35"/>
    <row r="43" ht="33.65" customHeight="1" x14ac:dyDescent="0.35"/>
    <row r="44" ht="33.65" customHeight="1" x14ac:dyDescent="0.35"/>
    <row r="45" ht="33.65" customHeight="1" x14ac:dyDescent="0.35"/>
    <row r="46" ht="33.65" customHeight="1" x14ac:dyDescent="0.35"/>
    <row r="47" ht="33.65" customHeight="1" x14ac:dyDescent="0.35"/>
    <row r="48" ht="33.65" customHeight="1" x14ac:dyDescent="0.35"/>
    <row r="49" ht="33.65" customHeight="1" x14ac:dyDescent="0.35"/>
    <row r="50" ht="33.65" customHeight="1" x14ac:dyDescent="0.35"/>
    <row r="51" ht="33.65" customHeight="1" x14ac:dyDescent="0.35"/>
    <row r="52" ht="33.65" customHeight="1" x14ac:dyDescent="0.35"/>
    <row r="53" ht="33.65" customHeight="1" x14ac:dyDescent="0.35"/>
    <row r="54" ht="33.65" customHeight="1" x14ac:dyDescent="0.35"/>
    <row r="55" ht="33.65" customHeight="1" x14ac:dyDescent="0.35"/>
    <row r="56" ht="33.65" customHeight="1" x14ac:dyDescent="0.35"/>
    <row r="57" ht="33.65" customHeight="1" x14ac:dyDescent="0.35"/>
    <row r="58" ht="33.65" customHeight="1" x14ac:dyDescent="0.35"/>
    <row r="59" ht="33.65" customHeight="1" x14ac:dyDescent="0.35"/>
    <row r="60" ht="33.65" customHeight="1" x14ac:dyDescent="0.35"/>
    <row r="61" ht="33.65" customHeight="1" x14ac:dyDescent="0.35"/>
    <row r="62" ht="33.65" customHeight="1" x14ac:dyDescent="0.35"/>
    <row r="63" ht="33.65" customHeight="1" x14ac:dyDescent="0.35"/>
    <row r="64" ht="33.65" customHeight="1" x14ac:dyDescent="0.35"/>
    <row r="65" ht="33.65" customHeight="1" x14ac:dyDescent="0.35"/>
    <row r="66" ht="33.65" customHeight="1" x14ac:dyDescent="0.35"/>
    <row r="67" ht="33.65" customHeight="1" x14ac:dyDescent="0.35"/>
    <row r="68" ht="33.65" customHeight="1" x14ac:dyDescent="0.35"/>
    <row r="69" ht="33.65" customHeight="1" x14ac:dyDescent="0.35"/>
    <row r="70" ht="33.65" customHeight="1" x14ac:dyDescent="0.35"/>
    <row r="71" ht="33.65" customHeight="1" x14ac:dyDescent="0.35"/>
    <row r="72" ht="33.65" customHeight="1" x14ac:dyDescent="0.35"/>
    <row r="73" ht="33.65" customHeight="1" x14ac:dyDescent="0.35"/>
    <row r="74" ht="33.65" customHeight="1" x14ac:dyDescent="0.35"/>
    <row r="75" ht="33.65" customHeight="1" x14ac:dyDescent="0.35"/>
    <row r="76" ht="33.65" customHeight="1" x14ac:dyDescent="0.35"/>
    <row r="77" ht="33.65" customHeight="1" x14ac:dyDescent="0.35"/>
    <row r="78" ht="33.65" customHeight="1" x14ac:dyDescent="0.35"/>
    <row r="79" ht="33.65" customHeight="1" x14ac:dyDescent="0.35"/>
    <row r="80" ht="33.65" customHeight="1" x14ac:dyDescent="0.35"/>
    <row r="81" ht="33.65" customHeight="1" x14ac:dyDescent="0.35"/>
    <row r="82" ht="33.65" customHeight="1" x14ac:dyDescent="0.35"/>
    <row r="83" ht="33.65" customHeight="1" x14ac:dyDescent="0.35"/>
    <row r="84" ht="33.65" customHeight="1" x14ac:dyDescent="0.35"/>
    <row r="85" ht="33.65" customHeight="1" x14ac:dyDescent="0.35"/>
    <row r="86" ht="33.65" customHeight="1" x14ac:dyDescent="0.35"/>
    <row r="87" ht="33.65" customHeight="1" x14ac:dyDescent="0.35"/>
    <row r="88" ht="33.65" customHeight="1" x14ac:dyDescent="0.35"/>
    <row r="89" ht="33.65" customHeight="1" x14ac:dyDescent="0.35"/>
    <row r="90" ht="33.65" customHeight="1" x14ac:dyDescent="0.35"/>
    <row r="91" ht="33.65" customHeight="1" x14ac:dyDescent="0.35"/>
    <row r="92" ht="33.65" customHeight="1" x14ac:dyDescent="0.35"/>
    <row r="93" ht="33.65" customHeight="1" x14ac:dyDescent="0.35"/>
    <row r="94" ht="33.65" customHeight="1" x14ac:dyDescent="0.35"/>
    <row r="95" ht="33.65" customHeight="1" x14ac:dyDescent="0.35"/>
    <row r="96" ht="33.65" customHeight="1" x14ac:dyDescent="0.35"/>
    <row r="97" ht="33.65" customHeight="1" x14ac:dyDescent="0.35"/>
    <row r="98" ht="33.65" customHeight="1" x14ac:dyDescent="0.35"/>
    <row r="99" ht="33.65" customHeight="1" x14ac:dyDescent="0.35"/>
    <row r="100" ht="33.65" customHeight="1" x14ac:dyDescent="0.35"/>
    <row r="101" ht="33.65" customHeight="1" x14ac:dyDescent="0.35"/>
    <row r="102" ht="33.65" customHeight="1" x14ac:dyDescent="0.35"/>
    <row r="103" ht="33.65" customHeight="1" x14ac:dyDescent="0.35"/>
    <row r="104" ht="33.65" customHeight="1" x14ac:dyDescent="0.35"/>
    <row r="105" ht="33.65" customHeight="1" x14ac:dyDescent="0.35"/>
    <row r="106" ht="33.65" customHeight="1" x14ac:dyDescent="0.35"/>
    <row r="107" ht="33.65" customHeight="1" x14ac:dyDescent="0.35"/>
    <row r="108" ht="33.65" customHeight="1" x14ac:dyDescent="0.35"/>
    <row r="109" ht="33.65" customHeight="1" x14ac:dyDescent="0.35"/>
    <row r="110" ht="33.65" customHeight="1" x14ac:dyDescent="0.35"/>
    <row r="111" ht="33.65" customHeight="1" x14ac:dyDescent="0.35"/>
    <row r="112" ht="33.65" customHeight="1" x14ac:dyDescent="0.35"/>
    <row r="113" ht="33.65" customHeight="1" x14ac:dyDescent="0.35"/>
    <row r="114" ht="33.65" customHeight="1" x14ac:dyDescent="0.35"/>
    <row r="115" ht="33.65" customHeight="1" x14ac:dyDescent="0.35"/>
    <row r="116" ht="33.65" customHeight="1" x14ac:dyDescent="0.35"/>
    <row r="117" ht="33.65" customHeight="1" x14ac:dyDescent="0.35"/>
    <row r="118" ht="33.65" customHeight="1" x14ac:dyDescent="0.35"/>
    <row r="119" ht="33.65" customHeight="1" x14ac:dyDescent="0.35"/>
    <row r="120" ht="33.65" customHeight="1" x14ac:dyDescent="0.35"/>
    <row r="121" ht="33.65" customHeight="1" x14ac:dyDescent="0.35"/>
    <row r="122" ht="33.65" customHeight="1" x14ac:dyDescent="0.35"/>
    <row r="123" ht="33.65" customHeight="1" x14ac:dyDescent="0.35"/>
    <row r="124" ht="33.65" customHeight="1" x14ac:dyDescent="0.35"/>
    <row r="125" ht="33.65" customHeight="1" x14ac:dyDescent="0.35"/>
    <row r="126" ht="33.65" customHeight="1" x14ac:dyDescent="0.35"/>
    <row r="127" ht="33.65" customHeight="1" x14ac:dyDescent="0.35"/>
    <row r="128" ht="33.65" customHeight="1" x14ac:dyDescent="0.35"/>
    <row r="129" ht="33.65" customHeight="1" x14ac:dyDescent="0.35"/>
    <row r="130" ht="33.65" customHeight="1" x14ac:dyDescent="0.35"/>
    <row r="131" ht="33.65" customHeight="1" x14ac:dyDescent="0.35"/>
    <row r="132" ht="33.65" customHeight="1" x14ac:dyDescent="0.35"/>
    <row r="133" ht="33.65" customHeight="1" x14ac:dyDescent="0.35"/>
    <row r="134" ht="33.65" customHeight="1" x14ac:dyDescent="0.35"/>
    <row r="135" ht="33.65" customHeight="1" x14ac:dyDescent="0.35"/>
    <row r="136" ht="33.65" customHeight="1" x14ac:dyDescent="0.35"/>
    <row r="137" ht="33.65" customHeight="1" x14ac:dyDescent="0.35"/>
    <row r="138" ht="33.65" customHeight="1" x14ac:dyDescent="0.35"/>
    <row r="139" ht="33.65" customHeight="1" x14ac:dyDescent="0.35"/>
    <row r="140" ht="33.65" customHeight="1" x14ac:dyDescent="0.35"/>
    <row r="141" ht="33.65" customHeight="1" x14ac:dyDescent="0.35"/>
    <row r="142" ht="33.65" customHeight="1" x14ac:dyDescent="0.35"/>
    <row r="143" ht="33.65" customHeight="1" x14ac:dyDescent="0.35"/>
    <row r="144" ht="33.65" customHeight="1" x14ac:dyDescent="0.35"/>
    <row r="145" ht="33.65" customHeight="1" x14ac:dyDescent="0.35"/>
    <row r="146" ht="33.65" customHeight="1" x14ac:dyDescent="0.35"/>
    <row r="147" ht="33.65" customHeight="1" x14ac:dyDescent="0.35"/>
    <row r="148" ht="33.65" customHeight="1" x14ac:dyDescent="0.35"/>
    <row r="149" ht="33.65" customHeight="1" x14ac:dyDescent="0.35"/>
    <row r="150" ht="33.65" customHeight="1" x14ac:dyDescent="0.35"/>
    <row r="151" ht="33.65" customHeight="1" x14ac:dyDescent="0.35"/>
    <row r="152" ht="33.65" customHeight="1" x14ac:dyDescent="0.35"/>
    <row r="153" ht="33.65" customHeight="1" x14ac:dyDescent="0.35"/>
    <row r="154" ht="33.65" customHeight="1" x14ac:dyDescent="0.35"/>
    <row r="155" ht="33.65" customHeight="1" x14ac:dyDescent="0.35"/>
    <row r="156" ht="33.65" customHeight="1" x14ac:dyDescent="0.35"/>
    <row r="157" ht="33.65" customHeight="1" x14ac:dyDescent="0.35"/>
    <row r="158" ht="33.65" customHeight="1" x14ac:dyDescent="0.35"/>
    <row r="159" ht="33.65" customHeight="1" x14ac:dyDescent="0.35"/>
    <row r="160" ht="33.65" customHeight="1" x14ac:dyDescent="0.35"/>
    <row r="161" ht="33.65" customHeight="1" x14ac:dyDescent="0.35"/>
    <row r="162" ht="33.65" customHeight="1" x14ac:dyDescent="0.35"/>
    <row r="163" ht="33.65" customHeight="1" x14ac:dyDescent="0.35"/>
    <row r="164" ht="33.65" customHeight="1" x14ac:dyDescent="0.35"/>
    <row r="165" ht="33.65" customHeight="1" x14ac:dyDescent="0.35"/>
    <row r="166" ht="33.65" customHeight="1" x14ac:dyDescent="0.35"/>
    <row r="167" ht="33.65" customHeight="1" x14ac:dyDescent="0.35"/>
    <row r="168" ht="33.65" customHeight="1" x14ac:dyDescent="0.35"/>
    <row r="169" ht="33.65" customHeight="1" x14ac:dyDescent="0.35"/>
    <row r="170" ht="33.65" customHeight="1" x14ac:dyDescent="0.35"/>
    <row r="171" ht="33.65" customHeight="1" x14ac:dyDescent="0.35"/>
    <row r="172" ht="33.65" customHeight="1" x14ac:dyDescent="0.35"/>
    <row r="173" ht="33.65" customHeight="1" x14ac:dyDescent="0.35"/>
    <row r="174" ht="33.65" customHeight="1" x14ac:dyDescent="0.35"/>
    <row r="175" ht="33.65" customHeight="1" x14ac:dyDescent="0.35"/>
    <row r="176" ht="33.65" customHeight="1" x14ac:dyDescent="0.35"/>
    <row r="177" ht="33.65" customHeight="1" x14ac:dyDescent="0.35"/>
    <row r="178" ht="33.65" customHeight="1" x14ac:dyDescent="0.35"/>
    <row r="179" ht="33.65" customHeight="1" x14ac:dyDescent="0.35"/>
    <row r="180" ht="33.65" customHeight="1" x14ac:dyDescent="0.35"/>
    <row r="181" ht="33.65" customHeight="1" x14ac:dyDescent="0.35"/>
    <row r="182" ht="33.65" customHeight="1" x14ac:dyDescent="0.35"/>
    <row r="183" ht="33.65" customHeight="1" x14ac:dyDescent="0.35"/>
    <row r="184" ht="33.65" customHeight="1" x14ac:dyDescent="0.35"/>
    <row r="185" ht="33.65" customHeight="1" x14ac:dyDescent="0.35"/>
    <row r="186" ht="33.65" customHeight="1" x14ac:dyDescent="0.35"/>
    <row r="187" ht="33.65" customHeight="1" x14ac:dyDescent="0.35"/>
    <row r="188" ht="33.65" customHeight="1" x14ac:dyDescent="0.35"/>
    <row r="189" ht="33.65" customHeight="1" x14ac:dyDescent="0.35"/>
    <row r="190" ht="33.65" customHeight="1" x14ac:dyDescent="0.35"/>
    <row r="191" ht="33.65" customHeight="1" x14ac:dyDescent="0.35"/>
    <row r="192" ht="33.65" customHeight="1" x14ac:dyDescent="0.35"/>
    <row r="193" ht="33.65" customHeight="1" x14ac:dyDescent="0.35"/>
    <row r="194" ht="33.65" customHeight="1" x14ac:dyDescent="0.35"/>
    <row r="195" ht="33.65" customHeight="1" x14ac:dyDescent="0.35"/>
    <row r="196" ht="33.65" customHeight="1" x14ac:dyDescent="0.35"/>
    <row r="197" ht="33.65" customHeight="1" x14ac:dyDescent="0.35"/>
    <row r="198" ht="33.65" customHeight="1" x14ac:dyDescent="0.35"/>
    <row r="199" ht="33.65" customHeight="1" x14ac:dyDescent="0.35"/>
    <row r="200" ht="33.65" customHeight="1" x14ac:dyDescent="0.35"/>
    <row r="201" ht="33.65" customHeight="1" x14ac:dyDescent="0.35"/>
    <row r="202" ht="33.65" customHeight="1" x14ac:dyDescent="0.35"/>
    <row r="203" ht="33.65" customHeight="1" x14ac:dyDescent="0.35"/>
    <row r="204" ht="33.65" customHeight="1" x14ac:dyDescent="0.35"/>
    <row r="205" ht="33.65" customHeight="1" x14ac:dyDescent="0.35"/>
    <row r="206" ht="33.65" customHeight="1" x14ac:dyDescent="0.35"/>
    <row r="207" ht="33.65" customHeight="1" x14ac:dyDescent="0.35"/>
    <row r="208" ht="57" customHeight="1" x14ac:dyDescent="0.35"/>
    <row r="209" ht="33.65" customHeight="1" x14ac:dyDescent="0.35"/>
    <row r="210" ht="33.65" customHeight="1" x14ac:dyDescent="0.35"/>
    <row r="211" ht="33.65" customHeight="1" x14ac:dyDescent="0.35"/>
    <row r="212" ht="33.65" customHeight="1" x14ac:dyDescent="0.35"/>
    <row r="213" ht="33.65" customHeight="1" x14ac:dyDescent="0.35"/>
    <row r="214" ht="33.65" customHeight="1" x14ac:dyDescent="0.35"/>
    <row r="215" ht="33.65" customHeight="1" x14ac:dyDescent="0.35"/>
    <row r="216" ht="33.65" customHeight="1" x14ac:dyDescent="0.35"/>
    <row r="217" ht="33.65" customHeight="1" x14ac:dyDescent="0.35"/>
    <row r="218" ht="33.65" customHeight="1" x14ac:dyDescent="0.35"/>
    <row r="219" ht="33.65" customHeight="1" x14ac:dyDescent="0.35"/>
    <row r="220" ht="33.65" customHeight="1" x14ac:dyDescent="0.35"/>
    <row r="221" ht="33.65" customHeight="1" x14ac:dyDescent="0.35"/>
    <row r="222" ht="33.65" customHeight="1" x14ac:dyDescent="0.35"/>
    <row r="223" ht="33.65" customHeight="1" x14ac:dyDescent="0.35"/>
    <row r="224" ht="33.65" customHeight="1" x14ac:dyDescent="0.35"/>
    <row r="225" ht="33.65" customHeight="1" x14ac:dyDescent="0.35"/>
    <row r="226" ht="33.65" customHeight="1" x14ac:dyDescent="0.35"/>
    <row r="227" ht="33.65" customHeight="1" x14ac:dyDescent="0.35"/>
    <row r="228" ht="33.65" customHeight="1" x14ac:dyDescent="0.35"/>
    <row r="229" ht="33.65" customHeight="1" x14ac:dyDescent="0.35"/>
    <row r="230" ht="33.65" customHeight="1" x14ac:dyDescent="0.35"/>
    <row r="231" ht="33.65" customHeight="1" x14ac:dyDescent="0.35"/>
    <row r="232" ht="33.65" customHeight="1" x14ac:dyDescent="0.35"/>
    <row r="233" ht="33.65" customHeight="1" x14ac:dyDescent="0.35"/>
    <row r="234" ht="33.65" customHeight="1" x14ac:dyDescent="0.35"/>
    <row r="235" ht="33.65" customHeight="1" x14ac:dyDescent="0.35"/>
    <row r="236" ht="33.65" customHeight="1" x14ac:dyDescent="0.35"/>
    <row r="237" ht="33.65" customHeight="1" x14ac:dyDescent="0.35"/>
    <row r="238" ht="33.65" customHeight="1" x14ac:dyDescent="0.35"/>
    <row r="239" ht="33.65" customHeight="1" x14ac:dyDescent="0.35"/>
    <row r="240" ht="33.65" customHeight="1" x14ac:dyDescent="0.35"/>
    <row r="241" ht="33.65" customHeight="1" x14ac:dyDescent="0.35"/>
    <row r="242" ht="33.65" customHeight="1" x14ac:dyDescent="0.35"/>
    <row r="243" ht="33.65" customHeight="1" x14ac:dyDescent="0.35"/>
    <row r="244" ht="33.65" customHeight="1" x14ac:dyDescent="0.35"/>
    <row r="245" ht="33.65" customHeight="1" x14ac:dyDescent="0.35"/>
    <row r="246" ht="33.65" customHeight="1" x14ac:dyDescent="0.35"/>
    <row r="247" ht="33.65" customHeight="1" x14ac:dyDescent="0.35"/>
    <row r="248" ht="33.65" customHeight="1" x14ac:dyDescent="0.35"/>
    <row r="249" ht="33.65" customHeight="1" x14ac:dyDescent="0.35"/>
    <row r="250" ht="33.65" customHeight="1" x14ac:dyDescent="0.35"/>
    <row r="251" ht="33.65" customHeight="1" x14ac:dyDescent="0.35"/>
    <row r="252" ht="33.65" customHeight="1" x14ac:dyDescent="0.35"/>
    <row r="253" ht="33.65" customHeight="1" x14ac:dyDescent="0.35"/>
    <row r="254" ht="33.65" customHeight="1" x14ac:dyDescent="0.35"/>
    <row r="255" ht="33.65" customHeight="1" x14ac:dyDescent="0.35"/>
    <row r="256" ht="33.65" customHeight="1" x14ac:dyDescent="0.35"/>
    <row r="257" ht="33.65" customHeight="1" x14ac:dyDescent="0.35"/>
    <row r="258" ht="33.65" customHeight="1" x14ac:dyDescent="0.35"/>
    <row r="259" ht="33.65" customHeight="1" x14ac:dyDescent="0.35"/>
    <row r="260" ht="33.65" customHeight="1" x14ac:dyDescent="0.35"/>
    <row r="261" ht="33.65" customHeight="1" x14ac:dyDescent="0.35"/>
    <row r="262" ht="33.65" customHeight="1" x14ac:dyDescent="0.35"/>
    <row r="263" ht="33.65" customHeight="1" x14ac:dyDescent="0.35"/>
    <row r="264" ht="33.65" customHeight="1" x14ac:dyDescent="0.35"/>
    <row r="265" ht="33.65" customHeight="1" x14ac:dyDescent="0.35"/>
    <row r="266" ht="33.65" customHeight="1" x14ac:dyDescent="0.35"/>
    <row r="267" ht="33.65" customHeight="1" x14ac:dyDescent="0.35"/>
    <row r="268" ht="33.65" customHeight="1" x14ac:dyDescent="0.35"/>
    <row r="269" ht="33.65" customHeight="1" x14ac:dyDescent="0.35"/>
    <row r="270" ht="33.65" customHeight="1" x14ac:dyDescent="0.35"/>
    <row r="271" ht="33.65" customHeight="1" x14ac:dyDescent="0.35"/>
    <row r="272" ht="33.65" customHeight="1" x14ac:dyDescent="0.35"/>
    <row r="273" ht="33.65" customHeight="1" x14ac:dyDescent="0.35"/>
    <row r="274" ht="33.65" customHeight="1" x14ac:dyDescent="0.35"/>
    <row r="275" ht="33.65" customHeight="1" x14ac:dyDescent="0.35"/>
    <row r="276" ht="33.65" customHeight="1" x14ac:dyDescent="0.35"/>
    <row r="277" ht="33.65" customHeight="1" x14ac:dyDescent="0.35"/>
    <row r="278" ht="33.65" customHeight="1" x14ac:dyDescent="0.35"/>
    <row r="279" ht="33.65" customHeight="1" x14ac:dyDescent="0.35"/>
    <row r="280" ht="33.65" customHeight="1" x14ac:dyDescent="0.35"/>
    <row r="281" ht="33.65" customHeight="1" x14ac:dyDescent="0.35"/>
    <row r="282" ht="33.65" customHeight="1" x14ac:dyDescent="0.35"/>
    <row r="283" ht="33.65" customHeight="1" x14ac:dyDescent="0.35"/>
    <row r="284" ht="33.65" customHeight="1" x14ac:dyDescent="0.35"/>
    <row r="285" ht="33.65" customHeight="1" x14ac:dyDescent="0.35"/>
    <row r="286" ht="33.65" customHeight="1" x14ac:dyDescent="0.35"/>
    <row r="287" ht="33.65" customHeight="1" x14ac:dyDescent="0.35"/>
    <row r="288" ht="33.65" customHeight="1" x14ac:dyDescent="0.35"/>
    <row r="289" ht="33.65" customHeight="1" x14ac:dyDescent="0.35"/>
    <row r="290" ht="33.65" customHeight="1" x14ac:dyDescent="0.35"/>
    <row r="291" ht="33.65" customHeight="1" x14ac:dyDescent="0.35"/>
    <row r="292" ht="33.65" customHeight="1" x14ac:dyDescent="0.35"/>
    <row r="293" ht="33.65" customHeight="1" x14ac:dyDescent="0.35"/>
    <row r="294" ht="33.65" customHeight="1" x14ac:dyDescent="0.35"/>
    <row r="295" ht="33.65" customHeight="1" x14ac:dyDescent="0.35"/>
    <row r="296" ht="33.65" customHeight="1" x14ac:dyDescent="0.35"/>
    <row r="297" ht="33.65" customHeight="1" x14ac:dyDescent="0.35"/>
    <row r="298" ht="33.65" customHeight="1" x14ac:dyDescent="0.35"/>
    <row r="299" ht="33.65" customHeight="1" x14ac:dyDescent="0.35"/>
    <row r="300" ht="33.65" customHeight="1" x14ac:dyDescent="0.35"/>
    <row r="301" ht="33.65" customHeight="1" x14ac:dyDescent="0.35"/>
    <row r="302" ht="33.65" customHeight="1" x14ac:dyDescent="0.35"/>
    <row r="303" ht="33.65" customHeight="1" x14ac:dyDescent="0.35"/>
    <row r="304" ht="33.65" customHeight="1" x14ac:dyDescent="0.35"/>
    <row r="305" ht="33.65" customHeight="1" x14ac:dyDescent="0.35"/>
    <row r="306" ht="33.65" customHeight="1" x14ac:dyDescent="0.35"/>
    <row r="307" ht="33.65" customHeight="1" x14ac:dyDescent="0.35"/>
    <row r="308" ht="33.65" customHeight="1" x14ac:dyDescent="0.35"/>
    <row r="309" ht="33.65" customHeight="1" x14ac:dyDescent="0.35"/>
    <row r="310" ht="33.65" customHeight="1" x14ac:dyDescent="0.35"/>
    <row r="311" ht="33.65" customHeight="1" x14ac:dyDescent="0.35"/>
    <row r="312" ht="33.65" customHeight="1" x14ac:dyDescent="0.35"/>
    <row r="313" ht="33.65" customHeight="1" x14ac:dyDescent="0.35"/>
    <row r="314" ht="33.65" customHeight="1" x14ac:dyDescent="0.35"/>
    <row r="315" ht="33.65" customHeight="1" x14ac:dyDescent="0.35"/>
    <row r="316" ht="33.65" customHeight="1" x14ac:dyDescent="0.35"/>
    <row r="317" ht="33.65" customHeight="1" x14ac:dyDescent="0.35"/>
    <row r="318" ht="33.65" customHeight="1" x14ac:dyDescent="0.35"/>
    <row r="319" ht="33.65" customHeight="1" x14ac:dyDescent="0.35"/>
    <row r="320" ht="33.65" customHeight="1" x14ac:dyDescent="0.35"/>
    <row r="321" ht="33.65" customHeight="1" x14ac:dyDescent="0.35"/>
    <row r="322" ht="33.65" customHeight="1" x14ac:dyDescent="0.35"/>
    <row r="323" ht="33.65" customHeight="1" x14ac:dyDescent="0.35"/>
    <row r="324" ht="33.65" customHeight="1" x14ac:dyDescent="0.35"/>
    <row r="325" ht="33.65" customHeight="1" x14ac:dyDescent="0.35"/>
    <row r="326" ht="33.65" customHeight="1" x14ac:dyDescent="0.35"/>
    <row r="327" ht="33.65" customHeight="1" x14ac:dyDescent="0.35"/>
    <row r="328" ht="33.65" customHeight="1" x14ac:dyDescent="0.35"/>
    <row r="329" ht="33.65" customHeight="1" x14ac:dyDescent="0.35"/>
    <row r="330" ht="33.65" customHeight="1" x14ac:dyDescent="0.35"/>
    <row r="331" ht="33.65" customHeight="1" x14ac:dyDescent="0.35"/>
    <row r="332" ht="33.65" customHeight="1" x14ac:dyDescent="0.35"/>
    <row r="333" ht="33.65" customHeight="1" x14ac:dyDescent="0.35"/>
    <row r="334" ht="33.65" customHeight="1" x14ac:dyDescent="0.35"/>
    <row r="335" ht="33.65" customHeight="1" x14ac:dyDescent="0.35"/>
    <row r="336" ht="33.65" customHeight="1" x14ac:dyDescent="0.35"/>
    <row r="337" ht="33.65" customHeight="1" x14ac:dyDescent="0.35"/>
    <row r="338" ht="33.65" customHeight="1" x14ac:dyDescent="0.35"/>
    <row r="339" ht="33.65" customHeight="1" x14ac:dyDescent="0.35"/>
    <row r="340" ht="33.65" customHeight="1" x14ac:dyDescent="0.35"/>
    <row r="341" ht="33.65" customHeight="1" x14ac:dyDescent="0.35"/>
    <row r="342" ht="33.65" customHeight="1" x14ac:dyDescent="0.35"/>
    <row r="343" ht="33.65" customHeight="1" x14ac:dyDescent="0.35"/>
    <row r="344" ht="33.65" customHeight="1" x14ac:dyDescent="0.35"/>
    <row r="345" ht="33.65" customHeight="1" x14ac:dyDescent="0.35"/>
    <row r="346" ht="33.65" customHeight="1" x14ac:dyDescent="0.35"/>
    <row r="347" ht="33.65" customHeight="1" x14ac:dyDescent="0.35"/>
    <row r="348" ht="33.65" customHeight="1" x14ac:dyDescent="0.35"/>
    <row r="349" ht="33.65" customHeight="1" x14ac:dyDescent="0.35"/>
    <row r="350" ht="33.65" customHeight="1" x14ac:dyDescent="0.35"/>
    <row r="351" ht="33.65" customHeight="1" x14ac:dyDescent="0.35"/>
    <row r="352" ht="33.65" customHeight="1" x14ac:dyDescent="0.35"/>
    <row r="353" ht="33.65" customHeight="1" x14ac:dyDescent="0.35"/>
    <row r="354" ht="33.65" customHeight="1" x14ac:dyDescent="0.35"/>
    <row r="355" ht="33.65" customHeight="1" x14ac:dyDescent="0.35"/>
    <row r="356" ht="33.65" customHeight="1" x14ac:dyDescent="0.35"/>
    <row r="357" ht="33.65" customHeight="1" x14ac:dyDescent="0.35"/>
    <row r="358" ht="33.65" customHeight="1" x14ac:dyDescent="0.35"/>
    <row r="359" ht="33.65" customHeight="1" x14ac:dyDescent="0.35"/>
    <row r="360" ht="33.65" customHeight="1" x14ac:dyDescent="0.35"/>
    <row r="361" ht="33.65" customHeight="1" x14ac:dyDescent="0.35"/>
    <row r="362" ht="33.65" customHeight="1" x14ac:dyDescent="0.35"/>
    <row r="363" ht="33.65" customHeight="1" x14ac:dyDescent="0.35"/>
    <row r="364" ht="33.65" customHeight="1" x14ac:dyDescent="0.35"/>
    <row r="365" ht="33.65" customHeight="1" x14ac:dyDescent="0.35"/>
    <row r="366" ht="33.65" customHeight="1" x14ac:dyDescent="0.35"/>
    <row r="367" ht="33.65" customHeight="1" x14ac:dyDescent="0.35"/>
    <row r="368" ht="33.65" customHeight="1" x14ac:dyDescent="0.35"/>
    <row r="369" ht="33.65" customHeight="1" x14ac:dyDescent="0.35"/>
    <row r="370" ht="33.65" customHeight="1" x14ac:dyDescent="0.35"/>
    <row r="371" ht="33.65" customHeight="1" x14ac:dyDescent="0.35"/>
    <row r="372" ht="33.65" customHeight="1" x14ac:dyDescent="0.35"/>
    <row r="373" ht="33.65" customHeight="1" x14ac:dyDescent="0.35"/>
    <row r="374" ht="33.65" customHeight="1" x14ac:dyDescent="0.35"/>
    <row r="375" ht="33.65" customHeight="1" x14ac:dyDescent="0.35"/>
    <row r="376" ht="33.65" customHeight="1" x14ac:dyDescent="0.35"/>
    <row r="377" ht="33.65" customHeight="1" x14ac:dyDescent="0.35"/>
    <row r="378" ht="33.65" customHeight="1" x14ac:dyDescent="0.35"/>
    <row r="379" ht="33.65" customHeight="1" x14ac:dyDescent="0.35"/>
    <row r="380" ht="33.65" customHeight="1" x14ac:dyDescent="0.35"/>
    <row r="381" ht="33.65" customHeight="1" x14ac:dyDescent="0.35"/>
    <row r="382" ht="33.65" customHeight="1" x14ac:dyDescent="0.35"/>
    <row r="383" ht="33.65" customHeight="1" x14ac:dyDescent="0.35"/>
    <row r="384" ht="33.65" customHeight="1" x14ac:dyDescent="0.35"/>
    <row r="385" ht="33.65" customHeight="1" x14ac:dyDescent="0.35"/>
    <row r="386" ht="33.65" customHeight="1" x14ac:dyDescent="0.35"/>
    <row r="387" ht="33.65" customHeight="1" x14ac:dyDescent="0.35"/>
    <row r="388" ht="33.65" customHeight="1" x14ac:dyDescent="0.35"/>
    <row r="389" ht="33.65" customHeight="1" x14ac:dyDescent="0.35"/>
    <row r="390" ht="33.65" customHeight="1" x14ac:dyDescent="0.35"/>
    <row r="391" ht="33.65" customHeight="1" x14ac:dyDescent="0.35"/>
    <row r="392" ht="33.65" customHeight="1" x14ac:dyDescent="0.35"/>
    <row r="393" ht="33.65" customHeight="1" x14ac:dyDescent="0.35"/>
    <row r="394" ht="33.65" customHeight="1" x14ac:dyDescent="0.35"/>
    <row r="395" ht="33.65" customHeight="1" x14ac:dyDescent="0.35"/>
    <row r="396" ht="33.65" customHeight="1" x14ac:dyDescent="0.35"/>
    <row r="397" ht="33.65" customHeight="1" x14ac:dyDescent="0.35"/>
    <row r="398" ht="33.65" customHeight="1" x14ac:dyDescent="0.35"/>
    <row r="399" ht="33.65" customHeight="1" x14ac:dyDescent="0.35"/>
    <row r="400" ht="33.65" customHeight="1" x14ac:dyDescent="0.35"/>
    <row r="401" ht="33.65" customHeight="1" x14ac:dyDescent="0.35"/>
    <row r="402" ht="33.65" customHeight="1" x14ac:dyDescent="0.35"/>
    <row r="403" ht="33.65" customHeight="1" x14ac:dyDescent="0.35"/>
    <row r="404" ht="33.65" customHeight="1" x14ac:dyDescent="0.35"/>
    <row r="405" ht="33.65" customHeight="1" x14ac:dyDescent="0.35"/>
    <row r="406" ht="33.65" customHeight="1" x14ac:dyDescent="0.35"/>
    <row r="407" ht="33.65" customHeight="1" x14ac:dyDescent="0.35"/>
    <row r="408" ht="33.65" customHeight="1" x14ac:dyDescent="0.35"/>
    <row r="409" ht="33.65" customHeight="1" x14ac:dyDescent="0.35"/>
    <row r="410" ht="33.65" customHeight="1" x14ac:dyDescent="0.35"/>
    <row r="411" ht="33.65" customHeight="1" x14ac:dyDescent="0.35"/>
    <row r="412" ht="33.65" customHeight="1" x14ac:dyDescent="0.35"/>
    <row r="413" ht="33.65" customHeight="1" x14ac:dyDescent="0.35"/>
    <row r="414" ht="33.65" customHeight="1" x14ac:dyDescent="0.35"/>
    <row r="415" ht="33.65" customHeight="1" x14ac:dyDescent="0.35"/>
    <row r="416" ht="33.65" customHeight="1" x14ac:dyDescent="0.35"/>
    <row r="417" ht="33.65" customHeight="1" x14ac:dyDescent="0.35"/>
    <row r="418" ht="33.65" customHeight="1" x14ac:dyDescent="0.35"/>
    <row r="419" ht="33.65" customHeight="1" x14ac:dyDescent="0.35"/>
    <row r="420" ht="33.65" customHeight="1" x14ac:dyDescent="0.35"/>
    <row r="421" ht="33.65" customHeight="1" x14ac:dyDescent="0.35"/>
    <row r="422" ht="33.65" customHeight="1" x14ac:dyDescent="0.35"/>
    <row r="423" ht="33.65" customHeight="1" x14ac:dyDescent="0.35"/>
    <row r="424" ht="33.65" customHeight="1" x14ac:dyDescent="0.35"/>
    <row r="425" ht="33.65" customHeight="1" x14ac:dyDescent="0.35"/>
    <row r="426" ht="33.65" customHeight="1" x14ac:dyDescent="0.35"/>
    <row r="427" ht="33.65" customHeight="1" x14ac:dyDescent="0.35"/>
    <row r="428" ht="33.65" customHeight="1" x14ac:dyDescent="0.35"/>
    <row r="429" ht="33.65" customHeight="1" x14ac:dyDescent="0.35"/>
    <row r="430" ht="33.65" customHeight="1" x14ac:dyDescent="0.35"/>
    <row r="431" ht="33.65" customHeight="1" x14ac:dyDescent="0.35"/>
    <row r="432" ht="33.65" customHeight="1" x14ac:dyDescent="0.35"/>
    <row r="433" ht="33.65" customHeight="1" x14ac:dyDescent="0.35"/>
    <row r="434" ht="33.65" customHeight="1" x14ac:dyDescent="0.35"/>
    <row r="435" ht="33.65" customHeight="1" x14ac:dyDescent="0.35"/>
    <row r="436" ht="33.65" customHeight="1" x14ac:dyDescent="0.35"/>
    <row r="437" ht="33.65" customHeight="1" x14ac:dyDescent="0.35"/>
    <row r="438" ht="33.65" customHeight="1" x14ac:dyDescent="0.35"/>
    <row r="439" ht="33.65" customHeight="1" x14ac:dyDescent="0.35"/>
    <row r="440" ht="33.65" customHeight="1" x14ac:dyDescent="0.35"/>
    <row r="441" ht="33.65" customHeight="1" x14ac:dyDescent="0.35"/>
    <row r="442" ht="33.65" customHeight="1" x14ac:dyDescent="0.35"/>
    <row r="443" ht="33.65" customHeight="1" x14ac:dyDescent="0.35"/>
    <row r="444" ht="33.65" customHeight="1" x14ac:dyDescent="0.35"/>
    <row r="445" ht="33.65" customHeight="1" x14ac:dyDescent="0.35"/>
    <row r="446" ht="33.65" customHeight="1" x14ac:dyDescent="0.35"/>
    <row r="447" ht="33.65" customHeight="1" x14ac:dyDescent="0.35"/>
    <row r="448" ht="33.65" customHeight="1" x14ac:dyDescent="0.35"/>
    <row r="449" ht="33.65" customHeight="1" x14ac:dyDescent="0.35"/>
    <row r="450" ht="33.65" customHeight="1" x14ac:dyDescent="0.35"/>
    <row r="451" ht="33.65" customHeight="1" x14ac:dyDescent="0.35"/>
    <row r="452" ht="33.65" customHeight="1" x14ac:dyDescent="0.35"/>
    <row r="453" ht="33.65" customHeight="1" x14ac:dyDescent="0.35"/>
    <row r="454" ht="33.65" customHeight="1" x14ac:dyDescent="0.35"/>
    <row r="455" ht="33.65" customHeight="1" x14ac:dyDescent="0.35"/>
    <row r="456" ht="33.65" customHeight="1" x14ac:dyDescent="0.35"/>
    <row r="457" ht="33.65" customHeight="1" x14ac:dyDescent="0.35"/>
    <row r="458" ht="33.65" customHeight="1" x14ac:dyDescent="0.35"/>
    <row r="459" ht="33.65" customHeight="1" x14ac:dyDescent="0.35"/>
    <row r="460" ht="33.65" customHeight="1" x14ac:dyDescent="0.35"/>
    <row r="461" ht="33.65" customHeight="1" x14ac:dyDescent="0.35"/>
    <row r="462" ht="33.65" customHeight="1" x14ac:dyDescent="0.35"/>
    <row r="463" ht="33.65" customHeight="1" x14ac:dyDescent="0.35"/>
    <row r="464" ht="33.65" customHeight="1" x14ac:dyDescent="0.35"/>
    <row r="465" ht="33.65" customHeight="1" x14ac:dyDescent="0.35"/>
    <row r="466" ht="33.65" customHeight="1" x14ac:dyDescent="0.35"/>
    <row r="467" ht="33.65" customHeight="1" x14ac:dyDescent="0.35"/>
    <row r="468" ht="33.65" customHeight="1" x14ac:dyDescent="0.35"/>
    <row r="469" ht="33.65" customHeight="1" x14ac:dyDescent="0.35"/>
    <row r="470" ht="33.65" customHeight="1" x14ac:dyDescent="0.35"/>
    <row r="471" ht="33.65" customHeight="1" x14ac:dyDescent="0.35"/>
    <row r="472" ht="33.65" customHeight="1" x14ac:dyDescent="0.35"/>
    <row r="473" ht="33.65" customHeight="1" x14ac:dyDescent="0.35"/>
    <row r="474" ht="33.65" customHeight="1" x14ac:dyDescent="0.35"/>
    <row r="475" ht="33.65" customHeight="1" x14ac:dyDescent="0.35"/>
    <row r="476" ht="33.65" customHeight="1" x14ac:dyDescent="0.35"/>
    <row r="477" ht="33.65" customHeight="1" x14ac:dyDescent="0.35"/>
    <row r="478" ht="33.65" customHeight="1" x14ac:dyDescent="0.35"/>
    <row r="479" ht="33.65" customHeight="1" x14ac:dyDescent="0.35"/>
    <row r="480" ht="33.65" customHeight="1" x14ac:dyDescent="0.35"/>
    <row r="481" ht="33.65" customHeight="1" x14ac:dyDescent="0.35"/>
    <row r="482" ht="33.65" customHeight="1" x14ac:dyDescent="0.35"/>
    <row r="483" ht="33.65" customHeight="1" x14ac:dyDescent="0.35"/>
    <row r="484" ht="33.65" customHeight="1" x14ac:dyDescent="0.35"/>
    <row r="485" ht="33.65" customHeight="1" x14ac:dyDescent="0.35"/>
    <row r="486" ht="33.65" customHeight="1" x14ac:dyDescent="0.35"/>
    <row r="487" ht="33.65" customHeight="1" x14ac:dyDescent="0.35"/>
    <row r="488" ht="33.65" customHeight="1" x14ac:dyDescent="0.35"/>
    <row r="489" ht="33.65" customHeight="1" x14ac:dyDescent="0.35"/>
    <row r="490" ht="33.65" customHeight="1" x14ac:dyDescent="0.35"/>
    <row r="491" ht="33.65" customHeight="1" x14ac:dyDescent="0.35"/>
    <row r="492" ht="33.65" customHeight="1" x14ac:dyDescent="0.35"/>
    <row r="493" ht="33.65" customHeight="1" x14ac:dyDescent="0.35"/>
    <row r="494" ht="33.65" customHeight="1" x14ac:dyDescent="0.35"/>
    <row r="495" ht="33.65" customHeight="1" x14ac:dyDescent="0.35"/>
    <row r="496" ht="33.65" customHeight="1" x14ac:dyDescent="0.35"/>
    <row r="497" ht="33.65" customHeight="1" x14ac:dyDescent="0.35"/>
    <row r="498" ht="33.65" customHeight="1" x14ac:dyDescent="0.35"/>
    <row r="499" ht="33.65" customHeight="1" x14ac:dyDescent="0.35"/>
    <row r="500" ht="33.65" customHeight="1" x14ac:dyDescent="0.35"/>
    <row r="501" ht="33.65" customHeight="1" x14ac:dyDescent="0.35"/>
    <row r="502" ht="33.65" customHeight="1" x14ac:dyDescent="0.35"/>
    <row r="503" ht="33.65" customHeight="1" x14ac:dyDescent="0.35"/>
    <row r="504" ht="33.65" customHeight="1" x14ac:dyDescent="0.35"/>
    <row r="505" ht="33.65" customHeight="1" x14ac:dyDescent="0.35"/>
    <row r="506" ht="33.65" customHeight="1" x14ac:dyDescent="0.35"/>
    <row r="507" ht="33.65" customHeight="1" x14ac:dyDescent="0.35"/>
    <row r="508" ht="33.65" customHeight="1" x14ac:dyDescent="0.35"/>
    <row r="509" ht="33.65" customHeight="1" x14ac:dyDescent="0.35"/>
    <row r="510" ht="33.65" customHeight="1" x14ac:dyDescent="0.35"/>
    <row r="511" ht="33.65" customHeight="1" x14ac:dyDescent="0.35"/>
    <row r="512" ht="33.65" customHeight="1" x14ac:dyDescent="0.35"/>
    <row r="513" ht="33.65" customHeight="1" x14ac:dyDescent="0.35"/>
    <row r="514" ht="33.65" customHeight="1" x14ac:dyDescent="0.35"/>
    <row r="515" ht="33.65" customHeight="1" x14ac:dyDescent="0.35"/>
    <row r="516" ht="33.65" customHeight="1" x14ac:dyDescent="0.35"/>
    <row r="517" ht="33.65" customHeight="1" x14ac:dyDescent="0.35"/>
    <row r="518" ht="33.65" customHeight="1" x14ac:dyDescent="0.35"/>
    <row r="519" ht="33.65" customHeight="1" x14ac:dyDescent="0.35"/>
    <row r="520" ht="33.65" customHeight="1" x14ac:dyDescent="0.35"/>
    <row r="521" ht="33.65" customHeight="1" x14ac:dyDescent="0.35"/>
    <row r="522" ht="33.65" customHeight="1" x14ac:dyDescent="0.35"/>
    <row r="523" ht="33.65" customHeight="1" x14ac:dyDescent="0.35"/>
    <row r="524" ht="33.65" customHeight="1" x14ac:dyDescent="0.35"/>
    <row r="525" ht="33.65" customHeight="1" x14ac:dyDescent="0.35"/>
    <row r="526" ht="33.65" customHeight="1" x14ac:dyDescent="0.35"/>
    <row r="527" ht="33.65" customHeight="1" x14ac:dyDescent="0.35"/>
    <row r="528" ht="33.65" customHeight="1" x14ac:dyDescent="0.35"/>
    <row r="529" ht="33.65" customHeight="1" x14ac:dyDescent="0.35"/>
    <row r="530" ht="33.65" customHeight="1" x14ac:dyDescent="0.35"/>
    <row r="531" ht="33.65" customHeight="1" x14ac:dyDescent="0.35"/>
    <row r="532" ht="33.65" customHeight="1" x14ac:dyDescent="0.35"/>
    <row r="533" ht="33.65" customHeight="1" x14ac:dyDescent="0.35"/>
    <row r="534" ht="33.65" customHeight="1" x14ac:dyDescent="0.35"/>
    <row r="535" ht="33.65" customHeight="1" x14ac:dyDescent="0.35"/>
    <row r="536" ht="33.65" customHeight="1" x14ac:dyDescent="0.35"/>
    <row r="537" ht="33.65" customHeight="1" x14ac:dyDescent="0.35"/>
    <row r="538" ht="33.65" customHeight="1" x14ac:dyDescent="0.35"/>
    <row r="539" ht="33.65" customHeight="1" x14ac:dyDescent="0.35"/>
    <row r="540" ht="33.65" customHeight="1" x14ac:dyDescent="0.35"/>
    <row r="541" ht="33.65" customHeight="1" x14ac:dyDescent="0.35"/>
    <row r="542" ht="33.65" customHeight="1" x14ac:dyDescent="0.35"/>
    <row r="543" ht="33.65" customHeight="1" x14ac:dyDescent="0.35"/>
    <row r="544" ht="33.65" customHeight="1" x14ac:dyDescent="0.35"/>
    <row r="545" ht="33.65" customHeight="1" x14ac:dyDescent="0.35"/>
    <row r="546" ht="33.65" customHeight="1" x14ac:dyDescent="0.35"/>
    <row r="547" ht="33.65" customHeight="1" x14ac:dyDescent="0.35"/>
    <row r="548" ht="33.65" customHeight="1" x14ac:dyDescent="0.35"/>
    <row r="549" ht="33.65" customHeight="1" x14ac:dyDescent="0.35"/>
    <row r="550" ht="33.65" customHeight="1" x14ac:dyDescent="0.35"/>
    <row r="551" ht="33.65" customHeight="1" x14ac:dyDescent="0.35"/>
    <row r="552" ht="33.65" customHeight="1" x14ac:dyDescent="0.35"/>
    <row r="553" ht="33.65" customHeight="1" x14ac:dyDescent="0.35"/>
    <row r="554" ht="33.65" customHeight="1" x14ac:dyDescent="0.35"/>
    <row r="555" ht="33.65" customHeight="1" x14ac:dyDescent="0.35"/>
    <row r="556" ht="33.65" customHeight="1" x14ac:dyDescent="0.35"/>
    <row r="557" ht="33.65" customHeight="1" x14ac:dyDescent="0.35"/>
    <row r="558" ht="33.65" customHeight="1" x14ac:dyDescent="0.35"/>
    <row r="559" ht="33.65" customHeight="1" x14ac:dyDescent="0.35"/>
    <row r="560" ht="33.65" customHeight="1" x14ac:dyDescent="0.35"/>
    <row r="561" ht="33.65" customHeight="1" x14ac:dyDescent="0.35"/>
    <row r="562" ht="33.65" customHeight="1" x14ac:dyDescent="0.35"/>
    <row r="563" ht="33.65" customHeight="1" x14ac:dyDescent="0.35"/>
    <row r="564" ht="33.65" customHeight="1" x14ac:dyDescent="0.35"/>
    <row r="565" ht="33.65" customHeight="1" x14ac:dyDescent="0.35"/>
    <row r="566" ht="33.65" customHeight="1" x14ac:dyDescent="0.35"/>
    <row r="567" ht="33.65" customHeight="1" x14ac:dyDescent="0.35"/>
    <row r="568" ht="33.65" customHeight="1" x14ac:dyDescent="0.35"/>
    <row r="569" ht="33.65" customHeight="1" x14ac:dyDescent="0.35"/>
    <row r="570" ht="33.65" customHeight="1" x14ac:dyDescent="0.35"/>
    <row r="571" ht="33.65" customHeight="1" x14ac:dyDescent="0.35"/>
    <row r="572" ht="33.65" customHeight="1" x14ac:dyDescent="0.35"/>
    <row r="573" ht="33.65" customHeight="1" x14ac:dyDescent="0.35"/>
    <row r="574" ht="33.65" customHeight="1" x14ac:dyDescent="0.35"/>
    <row r="575" ht="33.65" customHeight="1" x14ac:dyDescent="0.35"/>
    <row r="576" ht="33.65" customHeight="1" x14ac:dyDescent="0.35"/>
    <row r="577" ht="33.65" customHeight="1" x14ac:dyDescent="0.35"/>
    <row r="578" ht="33.65" customHeight="1" x14ac:dyDescent="0.35"/>
    <row r="579" ht="33.65" customHeight="1" x14ac:dyDescent="0.35"/>
    <row r="580" ht="33.65" customHeight="1" x14ac:dyDescent="0.35"/>
    <row r="581" ht="33.65" customHeight="1" x14ac:dyDescent="0.35"/>
    <row r="582" ht="33.65" customHeight="1" x14ac:dyDescent="0.35"/>
    <row r="583" ht="33.65" customHeight="1" x14ac:dyDescent="0.35"/>
    <row r="584" ht="33.65" customHeight="1" x14ac:dyDescent="0.35"/>
    <row r="585" ht="33.65" customHeight="1" x14ac:dyDescent="0.35"/>
    <row r="586" ht="33.65" customHeight="1" x14ac:dyDescent="0.35"/>
    <row r="587" ht="33.65" customHeight="1" x14ac:dyDescent="0.35"/>
    <row r="588" ht="33.65" customHeight="1" x14ac:dyDescent="0.35"/>
    <row r="589" ht="33.65" customHeight="1" x14ac:dyDescent="0.35"/>
    <row r="590" ht="16.75" customHeight="1" x14ac:dyDescent="0.35"/>
    <row r="591" ht="51" customHeight="1" x14ac:dyDescent="0.35"/>
  </sheetData>
  <mergeCells count="2">
    <mergeCell ref="A2:L2"/>
    <mergeCell ref="A1:L1"/>
  </mergeCells>
  <hyperlinks>
    <hyperlink ref="L4" r:id="rId1" xr:uid="{00000000-0004-0000-0200-000000000000}"/>
    <hyperlink ref="L5" r:id="rId2" xr:uid="{00000000-0004-0000-0200-000001000000}"/>
    <hyperlink ref="L6" r:id="rId3" xr:uid="{00000000-0004-0000-0200-000002000000}"/>
    <hyperlink ref="L7" r:id="rId4" xr:uid="{00000000-0004-0000-0200-000003000000}"/>
    <hyperlink ref="L8" r:id="rId5" xr:uid="{00000000-0004-0000-0200-000004000000}"/>
    <hyperlink ref="L9" r:id="rId6" xr:uid="{00000000-0004-0000-0200-000005000000}"/>
    <hyperlink ref="L10" r:id="rId7" xr:uid="{00000000-0004-0000-0200-000006000000}"/>
    <hyperlink ref="L11" r:id="rId8" xr:uid="{00000000-0004-0000-0200-000007000000}"/>
    <hyperlink ref="L12" r:id="rId9" xr:uid="{00000000-0004-0000-0200-000008000000}"/>
    <hyperlink ref="L13" r:id="rId10" xr:uid="{00000000-0004-0000-0200-000009000000}"/>
    <hyperlink ref="L14" r:id="rId11" xr:uid="{00000000-0004-0000-0200-00000A000000}"/>
    <hyperlink ref="L15" r:id="rId12" xr:uid="{00000000-0004-0000-0200-00000B000000}"/>
  </hyperlinks>
  <pageMargins left="0.7" right="0.7" top="0.75" bottom="0.75" header="0.3" footer="0.3"/>
  <tableParts count="1"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1"/>
  <sheetViews>
    <sheetView zoomScale="81" zoomScaleNormal="81" workbookViewId="0">
      <selection activeCell="A3" sqref="A3:XFD3"/>
    </sheetView>
  </sheetViews>
  <sheetFormatPr defaultColWidth="8.90625" defaultRowHeight="14.5" x14ac:dyDescent="0.35"/>
  <cols>
    <col min="1" max="1" width="12" customWidth="1"/>
    <col min="2" max="2" width="16" customWidth="1"/>
    <col min="3" max="3" width="55" customWidth="1"/>
    <col min="4" max="4" width="24" customWidth="1"/>
    <col min="5" max="6" width="55" customWidth="1"/>
    <col min="7" max="7" width="12" customWidth="1"/>
    <col min="8" max="8" width="25" customWidth="1"/>
    <col min="9" max="9" width="12" customWidth="1"/>
    <col min="10" max="10" width="16.36328125" customWidth="1"/>
  </cols>
  <sheetData>
    <row r="1" spans="1:10" ht="17.5" customHeight="1" x14ac:dyDescent="0.35">
      <c r="A1" s="29" t="s">
        <v>259</v>
      </c>
      <c r="B1" s="25"/>
      <c r="C1" s="25"/>
      <c r="D1" s="25"/>
      <c r="E1" s="25"/>
      <c r="F1" s="25"/>
      <c r="G1" s="25"/>
      <c r="H1" s="25"/>
      <c r="I1" s="25"/>
    </row>
    <row r="2" spans="1:10" ht="28.75" customHeight="1" x14ac:dyDescent="0.35">
      <c r="A2" s="33" t="s">
        <v>260</v>
      </c>
      <c r="B2" s="25"/>
      <c r="C2" s="25"/>
      <c r="D2" s="25"/>
      <c r="E2" s="25"/>
      <c r="F2" s="25"/>
      <c r="G2" s="25"/>
      <c r="H2" s="25"/>
      <c r="I2" s="25"/>
    </row>
    <row r="3" spans="1:10" s="38" customFormat="1" x14ac:dyDescent="0.35">
      <c r="A3" s="37" t="s">
        <v>373</v>
      </c>
      <c r="B3" s="37" t="s">
        <v>374</v>
      </c>
      <c r="C3" s="37" t="s">
        <v>375</v>
      </c>
      <c r="D3" s="37" t="s">
        <v>376</v>
      </c>
      <c r="E3" s="37" t="s">
        <v>377</v>
      </c>
      <c r="F3" s="37" t="s">
        <v>378</v>
      </c>
      <c r="G3" s="37" t="s">
        <v>379</v>
      </c>
      <c r="H3" s="37" t="s">
        <v>380</v>
      </c>
      <c r="I3" s="37" t="s">
        <v>381</v>
      </c>
      <c r="J3" s="47" t="s">
        <v>382</v>
      </c>
    </row>
    <row r="4" spans="1:10" ht="33.65" customHeight="1" x14ac:dyDescent="0.35">
      <c r="A4" s="34" t="s">
        <v>261</v>
      </c>
      <c r="B4" s="34" t="s">
        <v>5</v>
      </c>
      <c r="C4" s="34" t="s">
        <v>152</v>
      </c>
      <c r="D4" s="34" t="s">
        <v>155</v>
      </c>
      <c r="E4" s="34" t="s">
        <v>262</v>
      </c>
      <c r="F4" s="34" t="s">
        <v>263</v>
      </c>
      <c r="G4" s="34" t="s">
        <v>264</v>
      </c>
      <c r="H4" s="34" t="s">
        <v>265</v>
      </c>
      <c r="I4" s="34" t="s">
        <v>266</v>
      </c>
      <c r="J4" s="46"/>
    </row>
    <row r="5" spans="1:10" ht="33.65" customHeight="1" x14ac:dyDescent="0.35">
      <c r="A5" s="35" t="s">
        <v>162</v>
      </c>
      <c r="B5" s="35" t="s">
        <v>15</v>
      </c>
      <c r="C5" s="35" t="s">
        <v>163</v>
      </c>
      <c r="D5" s="35" t="s">
        <v>165</v>
      </c>
      <c r="E5" s="35"/>
      <c r="F5" s="35"/>
      <c r="G5" s="35" t="s">
        <v>267</v>
      </c>
      <c r="H5" s="35" t="s">
        <v>168</v>
      </c>
      <c r="I5" s="35" t="s">
        <v>268</v>
      </c>
      <c r="J5" s="46"/>
    </row>
    <row r="6" spans="1:10" ht="33.65" customHeight="1" x14ac:dyDescent="0.35">
      <c r="A6" s="35" t="s">
        <v>172</v>
      </c>
      <c r="B6" s="35" t="s">
        <v>15</v>
      </c>
      <c r="C6" s="35" t="s">
        <v>173</v>
      </c>
      <c r="D6" s="35" t="s">
        <v>175</v>
      </c>
      <c r="E6" s="35" t="s">
        <v>269</v>
      </c>
      <c r="F6" s="35" t="s">
        <v>270</v>
      </c>
      <c r="G6" s="35" t="s">
        <v>267</v>
      </c>
      <c r="H6" s="35" t="s">
        <v>178</v>
      </c>
      <c r="I6" s="35" t="s">
        <v>8</v>
      </c>
      <c r="J6" s="46"/>
    </row>
    <row r="7" spans="1:10" ht="33.65" customHeight="1" x14ac:dyDescent="0.35">
      <c r="A7" s="35" t="s">
        <v>181</v>
      </c>
      <c r="B7" s="35" t="s">
        <v>15</v>
      </c>
      <c r="C7" s="35" t="s">
        <v>182</v>
      </c>
      <c r="D7" s="35" t="s">
        <v>184</v>
      </c>
      <c r="E7" s="35"/>
      <c r="F7" s="35"/>
      <c r="G7" s="35" t="s">
        <v>267</v>
      </c>
      <c r="H7" s="35" t="s">
        <v>168</v>
      </c>
      <c r="I7" s="35" t="s">
        <v>268</v>
      </c>
      <c r="J7" s="46"/>
    </row>
    <row r="8" spans="1:10" ht="33.65" customHeight="1" x14ac:dyDescent="0.35">
      <c r="A8" s="35" t="s">
        <v>189</v>
      </c>
      <c r="B8" s="35" t="s">
        <v>190</v>
      </c>
      <c r="C8" s="35" t="s">
        <v>191</v>
      </c>
      <c r="D8" s="35" t="s">
        <v>193</v>
      </c>
      <c r="E8" s="35"/>
      <c r="F8" s="35"/>
      <c r="G8" s="35" t="s">
        <v>267</v>
      </c>
      <c r="H8" s="35" t="s">
        <v>196</v>
      </c>
      <c r="I8" s="35" t="s">
        <v>268</v>
      </c>
      <c r="J8" s="46"/>
    </row>
    <row r="9" spans="1:10" ht="33.65" customHeight="1" x14ac:dyDescent="0.35">
      <c r="A9" s="35" t="s">
        <v>198</v>
      </c>
      <c r="B9" s="35" t="s">
        <v>199</v>
      </c>
      <c r="C9" s="35" t="s">
        <v>200</v>
      </c>
      <c r="D9" s="35"/>
      <c r="E9" s="35"/>
      <c r="F9" s="35"/>
      <c r="G9" s="35" t="s">
        <v>267</v>
      </c>
      <c r="H9" s="35" t="s">
        <v>196</v>
      </c>
      <c r="I9" s="35" t="s">
        <v>268</v>
      </c>
      <c r="J9" s="46"/>
    </row>
    <row r="10" spans="1:10" ht="33.65" customHeight="1" x14ac:dyDescent="0.35">
      <c r="A10" s="35" t="s">
        <v>205</v>
      </c>
      <c r="B10" s="35" t="s">
        <v>206</v>
      </c>
      <c r="C10" s="35" t="s">
        <v>207</v>
      </c>
      <c r="D10" s="35"/>
      <c r="E10" s="35"/>
      <c r="F10" s="35"/>
      <c r="G10" s="35" t="s">
        <v>267</v>
      </c>
      <c r="H10" s="35" t="s">
        <v>196</v>
      </c>
      <c r="I10" s="35" t="s">
        <v>268</v>
      </c>
      <c r="J10" s="46"/>
    </row>
    <row r="11" spans="1:10" ht="33.65" customHeight="1" x14ac:dyDescent="0.35">
      <c r="A11" s="35" t="s">
        <v>212</v>
      </c>
      <c r="B11" s="35" t="s">
        <v>213</v>
      </c>
      <c r="C11" s="35" t="s">
        <v>214</v>
      </c>
      <c r="D11" s="35" t="s">
        <v>216</v>
      </c>
      <c r="E11" s="35"/>
      <c r="F11" s="35"/>
      <c r="G11" s="35" t="s">
        <v>267</v>
      </c>
      <c r="H11" s="35" t="s">
        <v>196</v>
      </c>
      <c r="I11" s="35" t="s">
        <v>268</v>
      </c>
      <c r="J11" s="46"/>
    </row>
    <row r="12" spans="1:10" ht="33.65" customHeight="1" x14ac:dyDescent="0.35">
      <c r="A12" s="35" t="s">
        <v>220</v>
      </c>
      <c r="B12" s="35" t="s">
        <v>221</v>
      </c>
      <c r="C12" s="35" t="s">
        <v>222</v>
      </c>
      <c r="D12" s="35" t="s">
        <v>224</v>
      </c>
      <c r="E12" s="35"/>
      <c r="F12" s="35"/>
      <c r="G12" s="35" t="s">
        <v>267</v>
      </c>
      <c r="H12" s="35" t="s">
        <v>196</v>
      </c>
      <c r="I12" s="35" t="s">
        <v>268</v>
      </c>
      <c r="J12" s="46"/>
    </row>
    <row r="13" spans="1:10" ht="33.65" customHeight="1" x14ac:dyDescent="0.35">
      <c r="A13" s="35" t="s">
        <v>228</v>
      </c>
      <c r="B13" s="35" t="s">
        <v>229</v>
      </c>
      <c r="C13" s="35" t="s">
        <v>230</v>
      </c>
      <c r="D13" s="35" t="s">
        <v>232</v>
      </c>
      <c r="E13" s="35"/>
      <c r="F13" s="35"/>
      <c r="G13" s="35" t="s">
        <v>267</v>
      </c>
      <c r="H13" s="35" t="s">
        <v>196</v>
      </c>
      <c r="I13" s="35" t="s">
        <v>268</v>
      </c>
      <c r="J13" s="46"/>
    </row>
    <row r="14" spans="1:10" ht="33.65" customHeight="1" x14ac:dyDescent="0.35">
      <c r="A14" s="35" t="s">
        <v>236</v>
      </c>
      <c r="B14" s="35" t="s">
        <v>237</v>
      </c>
      <c r="C14" s="35" t="s">
        <v>238</v>
      </c>
      <c r="D14" s="35" t="s">
        <v>240</v>
      </c>
      <c r="E14" s="35"/>
      <c r="F14" s="35"/>
      <c r="G14" s="35" t="s">
        <v>267</v>
      </c>
      <c r="H14" s="35" t="s">
        <v>243</v>
      </c>
      <c r="I14" s="35" t="s">
        <v>268</v>
      </c>
      <c r="J14" s="46"/>
    </row>
    <row r="15" spans="1:10" ht="33.65" customHeight="1" x14ac:dyDescent="0.35">
      <c r="A15" s="35" t="s">
        <v>245</v>
      </c>
      <c r="B15" s="35" t="s">
        <v>246</v>
      </c>
      <c r="C15" s="35" t="s">
        <v>247</v>
      </c>
      <c r="D15" s="35"/>
      <c r="E15" s="35"/>
      <c r="F15" s="35"/>
      <c r="G15" s="35" t="s">
        <v>267</v>
      </c>
      <c r="H15" s="35" t="s">
        <v>196</v>
      </c>
      <c r="I15" s="35" t="s">
        <v>268</v>
      </c>
      <c r="J15" s="46"/>
    </row>
    <row r="16" spans="1:10" ht="33.65" customHeight="1" x14ac:dyDescent="0.35">
      <c r="A16" s="35" t="s">
        <v>253</v>
      </c>
      <c r="B16" s="35" t="s">
        <v>190</v>
      </c>
      <c r="C16" s="35" t="s">
        <v>254</v>
      </c>
      <c r="D16" s="35"/>
      <c r="E16" s="35"/>
      <c r="F16" s="35"/>
      <c r="G16" s="35" t="s">
        <v>267</v>
      </c>
      <c r="H16" s="35" t="s">
        <v>196</v>
      </c>
      <c r="I16" s="35" t="s">
        <v>268</v>
      </c>
      <c r="J16" s="46"/>
    </row>
    <row r="17" ht="33.65" customHeight="1" x14ac:dyDescent="0.35"/>
    <row r="18" ht="33.65" customHeight="1" x14ac:dyDescent="0.35"/>
    <row r="19" ht="33.65" customHeight="1" x14ac:dyDescent="0.35"/>
    <row r="20" ht="33.65" customHeight="1" x14ac:dyDescent="0.35"/>
    <row r="21" ht="33.65" customHeight="1" x14ac:dyDescent="0.35"/>
    <row r="22" ht="33.65" customHeight="1" x14ac:dyDescent="0.35"/>
    <row r="23" ht="33.65" customHeight="1" x14ac:dyDescent="0.35"/>
    <row r="24" ht="33.65" customHeight="1" x14ac:dyDescent="0.35"/>
    <row r="25" ht="33.65" customHeight="1" x14ac:dyDescent="0.35"/>
    <row r="26" ht="33.65" customHeight="1" x14ac:dyDescent="0.35"/>
    <row r="27" ht="33.65" customHeight="1" x14ac:dyDescent="0.35"/>
    <row r="28" ht="33.65" customHeight="1" x14ac:dyDescent="0.35"/>
    <row r="29" ht="33.65" customHeight="1" x14ac:dyDescent="0.35"/>
    <row r="30" ht="33.65" customHeight="1" x14ac:dyDescent="0.35"/>
    <row r="31" ht="33.65" customHeight="1" x14ac:dyDescent="0.35"/>
    <row r="32" ht="33.65" customHeight="1" x14ac:dyDescent="0.35"/>
    <row r="33" ht="33.65" customHeight="1" x14ac:dyDescent="0.35"/>
    <row r="34" ht="33.65" customHeight="1" x14ac:dyDescent="0.35"/>
    <row r="35" ht="33.65" customHeight="1" x14ac:dyDescent="0.35"/>
    <row r="36" ht="33.65" customHeight="1" x14ac:dyDescent="0.35"/>
    <row r="37" ht="33.65" customHeight="1" x14ac:dyDescent="0.35"/>
    <row r="38" ht="33.65" customHeight="1" x14ac:dyDescent="0.35"/>
    <row r="39" ht="33.65" customHeight="1" x14ac:dyDescent="0.35"/>
    <row r="40" ht="33.65" customHeight="1" x14ac:dyDescent="0.35"/>
    <row r="41" ht="33.65" customHeight="1" x14ac:dyDescent="0.35"/>
    <row r="42" ht="33.65" customHeight="1" x14ac:dyDescent="0.35"/>
    <row r="43" ht="33.65" customHeight="1" x14ac:dyDescent="0.35"/>
    <row r="44" ht="33.65" customHeight="1" x14ac:dyDescent="0.35"/>
    <row r="45" ht="33.65" customHeight="1" x14ac:dyDescent="0.35"/>
    <row r="46" ht="33.65" customHeight="1" x14ac:dyDescent="0.35"/>
    <row r="47" ht="33.65" customHeight="1" x14ac:dyDescent="0.35"/>
    <row r="48" ht="33.65" customHeight="1" x14ac:dyDescent="0.35"/>
    <row r="49" ht="33.65" customHeight="1" x14ac:dyDescent="0.35"/>
    <row r="50" ht="33.65" customHeight="1" x14ac:dyDescent="0.35"/>
    <row r="51" ht="33.65" customHeight="1" x14ac:dyDescent="0.35"/>
    <row r="52" ht="33.65" customHeight="1" x14ac:dyDescent="0.35"/>
    <row r="53" ht="33.65" customHeight="1" x14ac:dyDescent="0.35"/>
    <row r="54" ht="33.65" customHeight="1" x14ac:dyDescent="0.35"/>
    <row r="55" ht="33.65" customHeight="1" x14ac:dyDescent="0.35"/>
    <row r="56" ht="33.65" customHeight="1" x14ac:dyDescent="0.35"/>
    <row r="57" ht="33.65" customHeight="1" x14ac:dyDescent="0.35"/>
    <row r="58" ht="33.65" customHeight="1" x14ac:dyDescent="0.35"/>
    <row r="59" ht="33.65" customHeight="1" x14ac:dyDescent="0.35"/>
    <row r="60" ht="33.65" customHeight="1" x14ac:dyDescent="0.35"/>
    <row r="61" ht="33.65" customHeight="1" x14ac:dyDescent="0.35"/>
    <row r="62" ht="33.65" customHeight="1" x14ac:dyDescent="0.35"/>
    <row r="63" ht="33.65" customHeight="1" x14ac:dyDescent="0.35"/>
    <row r="64" ht="33.65" customHeight="1" x14ac:dyDescent="0.35"/>
    <row r="65" ht="33.65" customHeight="1" x14ac:dyDescent="0.35"/>
    <row r="66" ht="33.65" customHeight="1" x14ac:dyDescent="0.35"/>
    <row r="67" ht="33.65" customHeight="1" x14ac:dyDescent="0.35"/>
    <row r="68" ht="33.65" customHeight="1" x14ac:dyDescent="0.35"/>
    <row r="69" ht="33.65" customHeight="1" x14ac:dyDescent="0.35"/>
    <row r="70" ht="33.65" customHeight="1" x14ac:dyDescent="0.35"/>
    <row r="71" ht="33.65" customHeight="1" x14ac:dyDescent="0.35"/>
    <row r="72" ht="33.65" customHeight="1" x14ac:dyDescent="0.35"/>
    <row r="73" ht="33.65" customHeight="1" x14ac:dyDescent="0.35"/>
    <row r="74" ht="33.65" customHeight="1" x14ac:dyDescent="0.35"/>
    <row r="75" ht="33.65" customHeight="1" x14ac:dyDescent="0.35"/>
    <row r="76" ht="33.65" customHeight="1" x14ac:dyDescent="0.35"/>
    <row r="77" ht="33.65" customHeight="1" x14ac:dyDescent="0.35"/>
    <row r="78" ht="33.65" customHeight="1" x14ac:dyDescent="0.35"/>
    <row r="79" ht="33.65" customHeight="1" x14ac:dyDescent="0.35"/>
    <row r="80" ht="33.65" customHeight="1" x14ac:dyDescent="0.35"/>
    <row r="81" ht="33.65" customHeight="1" x14ac:dyDescent="0.35"/>
    <row r="82" ht="33.65" customHeight="1" x14ac:dyDescent="0.35"/>
    <row r="83" ht="33.65" customHeight="1" x14ac:dyDescent="0.35"/>
    <row r="84" ht="33.65" customHeight="1" x14ac:dyDescent="0.35"/>
    <row r="85" ht="33.65" customHeight="1" x14ac:dyDescent="0.35"/>
    <row r="86" ht="33.65" customHeight="1" x14ac:dyDescent="0.35"/>
    <row r="87" ht="33.65" customHeight="1" x14ac:dyDescent="0.35"/>
    <row r="88" ht="33.65" customHeight="1" x14ac:dyDescent="0.35"/>
    <row r="89" ht="33.65" customHeight="1" x14ac:dyDescent="0.35"/>
    <row r="90" ht="33.65" customHeight="1" x14ac:dyDescent="0.35"/>
    <row r="91" ht="33.65" customHeight="1" x14ac:dyDescent="0.35"/>
    <row r="92" ht="33.65" customHeight="1" x14ac:dyDescent="0.35"/>
    <row r="93" ht="33.65" customHeight="1" x14ac:dyDescent="0.35"/>
    <row r="94" ht="33.65" customHeight="1" x14ac:dyDescent="0.35"/>
    <row r="95" ht="33.65" customHeight="1" x14ac:dyDescent="0.35"/>
    <row r="96" ht="33.65" customHeight="1" x14ac:dyDescent="0.35"/>
    <row r="97" ht="33.65" customHeight="1" x14ac:dyDescent="0.35"/>
    <row r="98" ht="33.65" customHeight="1" x14ac:dyDescent="0.35"/>
    <row r="99" ht="33.65" customHeight="1" x14ac:dyDescent="0.35"/>
    <row r="100" ht="33.65" customHeight="1" x14ac:dyDescent="0.35"/>
    <row r="101" ht="33.65" customHeight="1" x14ac:dyDescent="0.35"/>
    <row r="102" ht="33.65" customHeight="1" x14ac:dyDescent="0.35"/>
    <row r="103" ht="33.65" customHeight="1" x14ac:dyDescent="0.35"/>
    <row r="104" ht="33.65" customHeight="1" x14ac:dyDescent="0.35"/>
    <row r="105" ht="33.65" customHeight="1" x14ac:dyDescent="0.35"/>
    <row r="106" ht="33.65" customHeight="1" x14ac:dyDescent="0.35"/>
    <row r="107" ht="33.65" customHeight="1" x14ac:dyDescent="0.35"/>
    <row r="108" ht="33.65" customHeight="1" x14ac:dyDescent="0.35"/>
    <row r="109" ht="33.65" customHeight="1" x14ac:dyDescent="0.35"/>
    <row r="110" ht="33.65" customHeight="1" x14ac:dyDescent="0.35"/>
    <row r="111" ht="33.65" customHeight="1" x14ac:dyDescent="0.35"/>
    <row r="112" ht="33.65" customHeight="1" x14ac:dyDescent="0.35"/>
    <row r="113" ht="33.65" customHeight="1" x14ac:dyDescent="0.35"/>
    <row r="114" ht="33.65" customHeight="1" x14ac:dyDescent="0.35"/>
    <row r="115" ht="33.65" customHeight="1" x14ac:dyDescent="0.35"/>
    <row r="116" ht="33.65" customHeight="1" x14ac:dyDescent="0.35"/>
    <row r="117" ht="33.65" customHeight="1" x14ac:dyDescent="0.35"/>
    <row r="118" ht="33.65" customHeight="1" x14ac:dyDescent="0.35"/>
    <row r="119" ht="33.65" customHeight="1" x14ac:dyDescent="0.35"/>
    <row r="120" ht="33.65" customHeight="1" x14ac:dyDescent="0.35"/>
    <row r="121" ht="33.65" customHeight="1" x14ac:dyDescent="0.35"/>
    <row r="122" ht="33.65" customHeight="1" x14ac:dyDescent="0.35"/>
    <row r="123" ht="33.65" customHeight="1" x14ac:dyDescent="0.35"/>
    <row r="124" ht="33.65" customHeight="1" x14ac:dyDescent="0.35"/>
    <row r="125" ht="33.65" customHeight="1" x14ac:dyDescent="0.35"/>
    <row r="126" ht="33.65" customHeight="1" x14ac:dyDescent="0.35"/>
    <row r="127" ht="33.65" customHeight="1" x14ac:dyDescent="0.35"/>
    <row r="128" ht="33.65" customHeight="1" x14ac:dyDescent="0.35"/>
    <row r="129" ht="33.65" customHeight="1" x14ac:dyDescent="0.35"/>
    <row r="130" ht="33.65" customHeight="1" x14ac:dyDescent="0.35"/>
    <row r="131" ht="33.65" customHeight="1" x14ac:dyDescent="0.35"/>
    <row r="132" ht="33.65" customHeight="1" x14ac:dyDescent="0.35"/>
    <row r="133" ht="33.65" customHeight="1" x14ac:dyDescent="0.35"/>
    <row r="134" ht="33.65" customHeight="1" x14ac:dyDescent="0.35"/>
    <row r="135" ht="33.65" customHeight="1" x14ac:dyDescent="0.35"/>
    <row r="136" ht="33.65" customHeight="1" x14ac:dyDescent="0.35"/>
    <row r="137" ht="33.65" customHeight="1" x14ac:dyDescent="0.35"/>
    <row r="138" ht="33.65" customHeight="1" x14ac:dyDescent="0.35"/>
    <row r="139" ht="33.65" customHeight="1" x14ac:dyDescent="0.35"/>
    <row r="140" ht="33.65" customHeight="1" x14ac:dyDescent="0.35"/>
    <row r="141" ht="33.65" customHeight="1" x14ac:dyDescent="0.35"/>
    <row r="142" ht="33.65" customHeight="1" x14ac:dyDescent="0.35"/>
    <row r="143" ht="33.65" customHeight="1" x14ac:dyDescent="0.35"/>
    <row r="144" ht="33.65" customHeight="1" x14ac:dyDescent="0.35"/>
    <row r="145" ht="33.65" customHeight="1" x14ac:dyDescent="0.35"/>
    <row r="146" ht="33.65" customHeight="1" x14ac:dyDescent="0.35"/>
    <row r="147" ht="33.65" customHeight="1" x14ac:dyDescent="0.35"/>
    <row r="148" ht="33.65" customHeight="1" x14ac:dyDescent="0.35"/>
    <row r="149" ht="33.65" customHeight="1" x14ac:dyDescent="0.35"/>
    <row r="150" ht="33.65" customHeight="1" x14ac:dyDescent="0.35"/>
    <row r="151" ht="33.65" customHeight="1" x14ac:dyDescent="0.35"/>
    <row r="152" ht="33.65" customHeight="1" x14ac:dyDescent="0.35"/>
    <row r="153" ht="33.65" customHeight="1" x14ac:dyDescent="0.35"/>
    <row r="154" ht="33.65" customHeight="1" x14ac:dyDescent="0.35"/>
    <row r="155" ht="33.65" customHeight="1" x14ac:dyDescent="0.35"/>
    <row r="156" ht="33.65" customHeight="1" x14ac:dyDescent="0.35"/>
    <row r="157" ht="33.65" customHeight="1" x14ac:dyDescent="0.35"/>
    <row r="158" ht="33.65" customHeight="1" x14ac:dyDescent="0.35"/>
    <row r="159" ht="33.65" customHeight="1" x14ac:dyDescent="0.35"/>
    <row r="160" ht="33.65" customHeight="1" x14ac:dyDescent="0.35"/>
    <row r="161" ht="33.65" customHeight="1" x14ac:dyDescent="0.35"/>
    <row r="162" ht="33.65" customHeight="1" x14ac:dyDescent="0.35"/>
    <row r="163" ht="33.65" customHeight="1" x14ac:dyDescent="0.35"/>
    <row r="164" ht="33.65" customHeight="1" x14ac:dyDescent="0.35"/>
    <row r="165" ht="33.65" customHeight="1" x14ac:dyDescent="0.35"/>
    <row r="166" ht="33.65" customHeight="1" x14ac:dyDescent="0.35"/>
    <row r="167" ht="33.65" customHeight="1" x14ac:dyDescent="0.35"/>
    <row r="168" ht="33.65" customHeight="1" x14ac:dyDescent="0.35"/>
    <row r="169" ht="33.65" customHeight="1" x14ac:dyDescent="0.35"/>
    <row r="170" ht="33.65" customHeight="1" x14ac:dyDescent="0.35"/>
    <row r="171" ht="33.65" customHeight="1" x14ac:dyDescent="0.35"/>
    <row r="172" ht="33.65" customHeight="1" x14ac:dyDescent="0.35"/>
    <row r="173" ht="33.65" customHeight="1" x14ac:dyDescent="0.35"/>
    <row r="174" ht="33.65" customHeight="1" x14ac:dyDescent="0.35"/>
    <row r="175" ht="33.65" customHeight="1" x14ac:dyDescent="0.35"/>
    <row r="176" ht="33.65" customHeight="1" x14ac:dyDescent="0.35"/>
    <row r="177" ht="33.65" customHeight="1" x14ac:dyDescent="0.35"/>
    <row r="178" ht="33.65" customHeight="1" x14ac:dyDescent="0.35"/>
    <row r="179" ht="33.65" customHeight="1" x14ac:dyDescent="0.35"/>
    <row r="180" ht="33.65" customHeight="1" x14ac:dyDescent="0.35"/>
    <row r="181" ht="33.65" customHeight="1" x14ac:dyDescent="0.35"/>
    <row r="182" ht="33.65" customHeight="1" x14ac:dyDescent="0.35"/>
    <row r="183" ht="33.65" customHeight="1" x14ac:dyDescent="0.35"/>
    <row r="184" ht="33.65" customHeight="1" x14ac:dyDescent="0.35"/>
    <row r="185" ht="33.65" customHeight="1" x14ac:dyDescent="0.35"/>
    <row r="186" ht="33.65" customHeight="1" x14ac:dyDescent="0.35"/>
    <row r="187" ht="33.65" customHeight="1" x14ac:dyDescent="0.35"/>
    <row r="188" ht="33.65" customHeight="1" x14ac:dyDescent="0.35"/>
    <row r="189" ht="33.65" customHeight="1" x14ac:dyDescent="0.35"/>
    <row r="190" ht="33.65" customHeight="1" x14ac:dyDescent="0.35"/>
    <row r="191" ht="33.65" customHeight="1" x14ac:dyDescent="0.35"/>
    <row r="192" ht="33.65" customHeight="1" x14ac:dyDescent="0.35"/>
    <row r="193" ht="33.65" customHeight="1" x14ac:dyDescent="0.35"/>
    <row r="194" ht="33.65" customHeight="1" x14ac:dyDescent="0.35"/>
    <row r="195" ht="33.65" customHeight="1" x14ac:dyDescent="0.35"/>
    <row r="196" ht="33.65" customHeight="1" x14ac:dyDescent="0.35"/>
    <row r="197" ht="33.65" customHeight="1" x14ac:dyDescent="0.35"/>
    <row r="198" ht="33.65" customHeight="1" x14ac:dyDescent="0.35"/>
    <row r="199" ht="33.65" customHeight="1" x14ac:dyDescent="0.35"/>
    <row r="200" ht="33.65" customHeight="1" x14ac:dyDescent="0.35"/>
    <row r="201" ht="33.65" customHeight="1" x14ac:dyDescent="0.35"/>
    <row r="202" ht="33.65" customHeight="1" x14ac:dyDescent="0.35"/>
    <row r="203" ht="33.65" customHeight="1" x14ac:dyDescent="0.35"/>
    <row r="204" ht="33.65" customHeight="1" x14ac:dyDescent="0.35"/>
    <row r="205" ht="33.65" customHeight="1" x14ac:dyDescent="0.35"/>
    <row r="206" ht="33.65" customHeight="1" x14ac:dyDescent="0.35"/>
    <row r="207" ht="33.65" customHeight="1" x14ac:dyDescent="0.35"/>
    <row r="208" ht="33.65" customHeight="1" x14ac:dyDescent="0.35"/>
    <row r="209" ht="33.65" customHeight="1" x14ac:dyDescent="0.35"/>
    <row r="210" ht="33.65" customHeight="1" x14ac:dyDescent="0.35"/>
    <row r="211" ht="33.65" customHeight="1" x14ac:dyDescent="0.35"/>
    <row r="212" ht="33.65" customHeight="1" x14ac:dyDescent="0.35"/>
    <row r="213" ht="33.65" customHeight="1" x14ac:dyDescent="0.35"/>
    <row r="214" ht="33.65" customHeight="1" x14ac:dyDescent="0.35"/>
    <row r="215" ht="33.65" customHeight="1" x14ac:dyDescent="0.35"/>
    <row r="216" ht="33.65" customHeight="1" x14ac:dyDescent="0.35"/>
    <row r="217" ht="33.65" customHeight="1" x14ac:dyDescent="0.35"/>
    <row r="218" ht="33.65" customHeight="1" x14ac:dyDescent="0.35"/>
    <row r="219" ht="33.65" customHeight="1" x14ac:dyDescent="0.35"/>
    <row r="220" ht="33.65" customHeight="1" x14ac:dyDescent="0.35"/>
    <row r="221" ht="33.65" customHeight="1" x14ac:dyDescent="0.35"/>
    <row r="222" ht="33.65" customHeight="1" x14ac:dyDescent="0.35"/>
    <row r="223" ht="33.65" customHeight="1" x14ac:dyDescent="0.35"/>
    <row r="224" ht="33.65" customHeight="1" x14ac:dyDescent="0.35"/>
    <row r="225" ht="33.65" customHeight="1" x14ac:dyDescent="0.35"/>
    <row r="226" ht="33.65" customHeight="1" x14ac:dyDescent="0.35"/>
    <row r="227" ht="33.65" customHeight="1" x14ac:dyDescent="0.35"/>
    <row r="228" ht="33.65" customHeight="1" x14ac:dyDescent="0.35"/>
    <row r="229" ht="33.65" customHeight="1" x14ac:dyDescent="0.35"/>
    <row r="230" ht="33.65" customHeight="1" x14ac:dyDescent="0.35"/>
    <row r="231" ht="33.65" customHeight="1" x14ac:dyDescent="0.35"/>
    <row r="232" ht="33.65" customHeight="1" x14ac:dyDescent="0.35"/>
    <row r="233" ht="33.65" customHeight="1" x14ac:dyDescent="0.35"/>
    <row r="234" ht="33.65" customHeight="1" x14ac:dyDescent="0.35"/>
    <row r="235" ht="33.65" customHeight="1" x14ac:dyDescent="0.35"/>
    <row r="236" ht="33.65" customHeight="1" x14ac:dyDescent="0.35"/>
    <row r="237" ht="33.65" customHeight="1" x14ac:dyDescent="0.35"/>
    <row r="238" ht="33.65" customHeight="1" x14ac:dyDescent="0.35"/>
    <row r="239" ht="33.65" customHeight="1" x14ac:dyDescent="0.35"/>
    <row r="240" ht="33.65" customHeight="1" x14ac:dyDescent="0.35"/>
    <row r="241" ht="33.65" customHeight="1" x14ac:dyDescent="0.35"/>
    <row r="242" ht="33.65" customHeight="1" x14ac:dyDescent="0.35"/>
    <row r="243" ht="33.65" customHeight="1" x14ac:dyDescent="0.35"/>
    <row r="244" ht="33.65" customHeight="1" x14ac:dyDescent="0.35"/>
    <row r="245" ht="33.65" customHeight="1" x14ac:dyDescent="0.35"/>
    <row r="246" ht="33.65" customHeight="1" x14ac:dyDescent="0.35"/>
    <row r="247" ht="33.65" customHeight="1" x14ac:dyDescent="0.35"/>
    <row r="248" ht="33.65" customHeight="1" x14ac:dyDescent="0.35"/>
    <row r="249" ht="33.65" customHeight="1" x14ac:dyDescent="0.35"/>
    <row r="250" ht="33.65" customHeight="1" x14ac:dyDescent="0.35"/>
    <row r="251" ht="33.65" customHeight="1" x14ac:dyDescent="0.35"/>
    <row r="252" ht="33.65" customHeight="1" x14ac:dyDescent="0.35"/>
    <row r="253" ht="33.65" customHeight="1" x14ac:dyDescent="0.35"/>
    <row r="254" ht="33.65" customHeight="1" x14ac:dyDescent="0.35"/>
    <row r="255" ht="33.65" customHeight="1" x14ac:dyDescent="0.35"/>
    <row r="256" ht="33.65" customHeight="1" x14ac:dyDescent="0.35"/>
    <row r="257" ht="33.65" customHeight="1" x14ac:dyDescent="0.35"/>
    <row r="258" ht="33.65" customHeight="1" x14ac:dyDescent="0.35"/>
    <row r="259" ht="33.65" customHeight="1" x14ac:dyDescent="0.35"/>
    <row r="260" ht="33.65" customHeight="1" x14ac:dyDescent="0.35"/>
    <row r="261" ht="33.65" customHeight="1" x14ac:dyDescent="0.35"/>
    <row r="262" ht="33.65" customHeight="1" x14ac:dyDescent="0.35"/>
    <row r="263" ht="33.65" customHeight="1" x14ac:dyDescent="0.35"/>
    <row r="264" ht="33.65" customHeight="1" x14ac:dyDescent="0.35"/>
    <row r="265" ht="33.65" customHeight="1" x14ac:dyDescent="0.35"/>
    <row r="266" ht="33.65" customHeight="1" x14ac:dyDescent="0.35"/>
    <row r="267" ht="33.65" customHeight="1" x14ac:dyDescent="0.35"/>
    <row r="268" ht="33.65" customHeight="1" x14ac:dyDescent="0.35"/>
    <row r="269" ht="33.65" customHeight="1" x14ac:dyDescent="0.35"/>
    <row r="270" ht="33.65" customHeight="1" x14ac:dyDescent="0.35"/>
    <row r="271" ht="33.65" customHeight="1" x14ac:dyDescent="0.35"/>
    <row r="272" ht="33.65" customHeight="1" x14ac:dyDescent="0.35"/>
    <row r="273" ht="33.65" customHeight="1" x14ac:dyDescent="0.35"/>
    <row r="274" ht="33.65" customHeight="1" x14ac:dyDescent="0.35"/>
    <row r="275" ht="33.65" customHeight="1" x14ac:dyDescent="0.35"/>
    <row r="276" ht="33.65" customHeight="1" x14ac:dyDescent="0.35"/>
    <row r="277" ht="33.65" customHeight="1" x14ac:dyDescent="0.35"/>
    <row r="278" ht="33.65" customHeight="1" x14ac:dyDescent="0.35"/>
    <row r="279" ht="33.65" customHeight="1" x14ac:dyDescent="0.35"/>
    <row r="280" ht="33.65" customHeight="1" x14ac:dyDescent="0.35"/>
    <row r="281" ht="33.65" customHeight="1" x14ac:dyDescent="0.35"/>
    <row r="282" ht="33.65" customHeight="1" x14ac:dyDescent="0.35"/>
    <row r="283" ht="33.65" customHeight="1" x14ac:dyDescent="0.35"/>
    <row r="284" ht="33.65" customHeight="1" x14ac:dyDescent="0.35"/>
    <row r="285" ht="33.65" customHeight="1" x14ac:dyDescent="0.35"/>
    <row r="286" ht="33.65" customHeight="1" x14ac:dyDescent="0.35"/>
    <row r="287" ht="33.65" customHeight="1" x14ac:dyDescent="0.35"/>
    <row r="288" ht="33.65" customHeight="1" x14ac:dyDescent="0.35"/>
    <row r="289" ht="33.65" customHeight="1" x14ac:dyDescent="0.35"/>
    <row r="290" ht="33.65" customHeight="1" x14ac:dyDescent="0.35"/>
    <row r="291" ht="33.65" customHeight="1" x14ac:dyDescent="0.35"/>
    <row r="292" ht="33.65" customHeight="1" x14ac:dyDescent="0.35"/>
    <row r="293" ht="33.65" customHeight="1" x14ac:dyDescent="0.35"/>
    <row r="294" ht="33.65" customHeight="1" x14ac:dyDescent="0.35"/>
    <row r="295" ht="33.65" customHeight="1" x14ac:dyDescent="0.35"/>
    <row r="296" ht="33.65" customHeight="1" x14ac:dyDescent="0.35"/>
    <row r="297" ht="33.65" customHeight="1" x14ac:dyDescent="0.35"/>
    <row r="298" ht="33.65" customHeight="1" x14ac:dyDescent="0.35"/>
    <row r="299" ht="33.65" customHeight="1" x14ac:dyDescent="0.35"/>
    <row r="300" ht="33.65" customHeight="1" x14ac:dyDescent="0.35"/>
    <row r="301" ht="33.65" customHeight="1" x14ac:dyDescent="0.35"/>
    <row r="302" ht="33.65" customHeight="1" x14ac:dyDescent="0.35"/>
    <row r="303" ht="33.65" customHeight="1" x14ac:dyDescent="0.35"/>
    <row r="304" ht="33.65" customHeight="1" x14ac:dyDescent="0.35"/>
    <row r="305" ht="33.65" customHeight="1" x14ac:dyDescent="0.35"/>
    <row r="306" ht="33.65" customHeight="1" x14ac:dyDescent="0.35"/>
    <row r="307" ht="33.65" customHeight="1" x14ac:dyDescent="0.35"/>
    <row r="308" ht="33.65" customHeight="1" x14ac:dyDescent="0.35"/>
    <row r="309" ht="33.65" customHeight="1" x14ac:dyDescent="0.35"/>
    <row r="310" ht="33.65" customHeight="1" x14ac:dyDescent="0.35"/>
    <row r="311" ht="33.65" customHeight="1" x14ac:dyDescent="0.35"/>
    <row r="312" ht="33.65" customHeight="1" x14ac:dyDescent="0.35"/>
    <row r="313" ht="33.65" customHeight="1" x14ac:dyDescent="0.35"/>
    <row r="314" ht="33.65" customHeight="1" x14ac:dyDescent="0.35"/>
    <row r="315" ht="33.65" customHeight="1" x14ac:dyDescent="0.35"/>
    <row r="316" ht="33.65" customHeight="1" x14ac:dyDescent="0.35"/>
    <row r="317" ht="33.65" customHeight="1" x14ac:dyDescent="0.35"/>
    <row r="318" ht="33.65" customHeight="1" x14ac:dyDescent="0.35"/>
    <row r="319" ht="33.65" customHeight="1" x14ac:dyDescent="0.35"/>
    <row r="320" ht="33.65" customHeight="1" x14ac:dyDescent="0.35"/>
    <row r="321" ht="33.65" customHeight="1" x14ac:dyDescent="0.35"/>
    <row r="322" ht="33.65" customHeight="1" x14ac:dyDescent="0.35"/>
    <row r="323" ht="33.65" customHeight="1" x14ac:dyDescent="0.35"/>
    <row r="324" ht="33.65" customHeight="1" x14ac:dyDescent="0.35"/>
    <row r="325" ht="33.65" customHeight="1" x14ac:dyDescent="0.35"/>
    <row r="326" ht="33.65" customHeight="1" x14ac:dyDescent="0.35"/>
    <row r="327" ht="33.65" customHeight="1" x14ac:dyDescent="0.35"/>
    <row r="328" ht="33.65" customHeight="1" x14ac:dyDescent="0.35"/>
    <row r="329" ht="33.65" customHeight="1" x14ac:dyDescent="0.35"/>
    <row r="330" ht="33.65" customHeight="1" x14ac:dyDescent="0.35"/>
    <row r="331" ht="33.65" customHeight="1" x14ac:dyDescent="0.35"/>
    <row r="332" ht="33.65" customHeight="1" x14ac:dyDescent="0.35"/>
    <row r="333" ht="33.65" customHeight="1" x14ac:dyDescent="0.35"/>
    <row r="334" ht="33.65" customHeight="1" x14ac:dyDescent="0.35"/>
    <row r="335" ht="33.65" customHeight="1" x14ac:dyDescent="0.35"/>
    <row r="336" ht="33.65" customHeight="1" x14ac:dyDescent="0.35"/>
    <row r="337" ht="33.65" customHeight="1" x14ac:dyDescent="0.35"/>
    <row r="338" ht="33.65" customHeight="1" x14ac:dyDescent="0.35"/>
    <row r="339" ht="33.65" customHeight="1" x14ac:dyDescent="0.35"/>
    <row r="340" ht="33.65" customHeight="1" x14ac:dyDescent="0.35"/>
    <row r="341" ht="33.65" customHeight="1" x14ac:dyDescent="0.35"/>
    <row r="342" ht="33.65" customHeight="1" x14ac:dyDescent="0.35"/>
    <row r="343" ht="33.65" customHeight="1" x14ac:dyDescent="0.35"/>
    <row r="344" ht="33.65" customHeight="1" x14ac:dyDescent="0.35"/>
    <row r="345" ht="33.65" customHeight="1" x14ac:dyDescent="0.35"/>
    <row r="346" ht="33.65" customHeight="1" x14ac:dyDescent="0.35"/>
    <row r="347" ht="33.65" customHeight="1" x14ac:dyDescent="0.35"/>
    <row r="348" ht="33.65" customHeight="1" x14ac:dyDescent="0.35"/>
    <row r="349" ht="33.65" customHeight="1" x14ac:dyDescent="0.35"/>
    <row r="350" ht="33.65" customHeight="1" x14ac:dyDescent="0.35"/>
    <row r="351" ht="33.65" customHeight="1" x14ac:dyDescent="0.35"/>
    <row r="352" ht="33.65" customHeight="1" x14ac:dyDescent="0.35"/>
    <row r="353" ht="33.65" customHeight="1" x14ac:dyDescent="0.35"/>
    <row r="354" ht="33.65" customHeight="1" x14ac:dyDescent="0.35"/>
    <row r="355" ht="33.65" customHeight="1" x14ac:dyDescent="0.35"/>
    <row r="356" ht="33.65" customHeight="1" x14ac:dyDescent="0.35"/>
    <row r="357" ht="33.65" customHeight="1" x14ac:dyDescent="0.35"/>
    <row r="358" ht="33.65" customHeight="1" x14ac:dyDescent="0.35"/>
    <row r="359" ht="33.65" customHeight="1" x14ac:dyDescent="0.35"/>
    <row r="360" ht="33.65" customHeight="1" x14ac:dyDescent="0.35"/>
    <row r="361" ht="33.65" customHeight="1" x14ac:dyDescent="0.35"/>
    <row r="362" ht="33.65" customHeight="1" x14ac:dyDescent="0.35"/>
    <row r="363" ht="33.65" customHeight="1" x14ac:dyDescent="0.35"/>
    <row r="364" ht="33.65" customHeight="1" x14ac:dyDescent="0.35"/>
    <row r="365" ht="33.65" customHeight="1" x14ac:dyDescent="0.35"/>
    <row r="366" ht="33.65" customHeight="1" x14ac:dyDescent="0.35"/>
    <row r="367" ht="33.65" customHeight="1" x14ac:dyDescent="0.35"/>
    <row r="368" ht="33.65" customHeight="1" x14ac:dyDescent="0.35"/>
    <row r="369" ht="33.65" customHeight="1" x14ac:dyDescent="0.35"/>
    <row r="370" ht="33.65" customHeight="1" x14ac:dyDescent="0.35"/>
    <row r="371" ht="33.65" customHeight="1" x14ac:dyDescent="0.35"/>
    <row r="372" ht="33.65" customHeight="1" x14ac:dyDescent="0.35"/>
    <row r="373" ht="33.65" customHeight="1" x14ac:dyDescent="0.35"/>
    <row r="374" ht="33.65" customHeight="1" x14ac:dyDescent="0.35"/>
    <row r="375" ht="33.65" customHeight="1" x14ac:dyDescent="0.35"/>
    <row r="376" ht="33.65" customHeight="1" x14ac:dyDescent="0.35"/>
    <row r="377" ht="33.65" customHeight="1" x14ac:dyDescent="0.35"/>
    <row r="378" ht="33.65" customHeight="1" x14ac:dyDescent="0.35"/>
    <row r="379" ht="33.65" customHeight="1" x14ac:dyDescent="0.35"/>
    <row r="380" ht="33.65" customHeight="1" x14ac:dyDescent="0.35"/>
    <row r="381" ht="33.65" customHeight="1" x14ac:dyDescent="0.35"/>
    <row r="382" ht="33.65" customHeight="1" x14ac:dyDescent="0.35"/>
    <row r="383" ht="33.65" customHeight="1" x14ac:dyDescent="0.35"/>
    <row r="384" ht="33.65" customHeight="1" x14ac:dyDescent="0.35"/>
    <row r="385" ht="33.65" customHeight="1" x14ac:dyDescent="0.35"/>
    <row r="386" ht="33.65" customHeight="1" x14ac:dyDescent="0.35"/>
    <row r="387" ht="33.65" customHeight="1" x14ac:dyDescent="0.35"/>
    <row r="388" ht="33.65" customHeight="1" x14ac:dyDescent="0.35"/>
    <row r="389" ht="33.65" customHeight="1" x14ac:dyDescent="0.35"/>
    <row r="390" ht="33.65" customHeight="1" x14ac:dyDescent="0.35"/>
    <row r="391" ht="33.65" customHeight="1" x14ac:dyDescent="0.35"/>
    <row r="392" ht="33.65" customHeight="1" x14ac:dyDescent="0.35"/>
    <row r="393" ht="33.65" customHeight="1" x14ac:dyDescent="0.35"/>
    <row r="394" ht="33.65" customHeight="1" x14ac:dyDescent="0.35"/>
    <row r="395" ht="33.65" customHeight="1" x14ac:dyDescent="0.35"/>
    <row r="396" ht="33.65" customHeight="1" x14ac:dyDescent="0.35"/>
    <row r="397" ht="33.65" customHeight="1" x14ac:dyDescent="0.35"/>
    <row r="398" ht="33.65" customHeight="1" x14ac:dyDescent="0.35"/>
    <row r="399" ht="33.65" customHeight="1" x14ac:dyDescent="0.35"/>
    <row r="400" ht="33.65" customHeight="1" x14ac:dyDescent="0.35"/>
    <row r="401" ht="33.65" customHeight="1" x14ac:dyDescent="0.35"/>
    <row r="402" ht="33.65" customHeight="1" x14ac:dyDescent="0.35"/>
    <row r="403" ht="33.65" customHeight="1" x14ac:dyDescent="0.35"/>
    <row r="404" ht="33.65" customHeight="1" x14ac:dyDescent="0.35"/>
    <row r="405" ht="33.65" customHeight="1" x14ac:dyDescent="0.35"/>
    <row r="406" ht="33.65" customHeight="1" x14ac:dyDescent="0.35"/>
    <row r="407" ht="33.65" customHeight="1" x14ac:dyDescent="0.35"/>
    <row r="408" ht="33.65" customHeight="1" x14ac:dyDescent="0.35"/>
    <row r="409" ht="33.65" customHeight="1" x14ac:dyDescent="0.35"/>
    <row r="410" ht="33.65" customHeight="1" x14ac:dyDescent="0.35"/>
    <row r="411" ht="33.65" customHeight="1" x14ac:dyDescent="0.35"/>
    <row r="412" ht="33.65" customHeight="1" x14ac:dyDescent="0.35"/>
    <row r="413" ht="33.65" customHeight="1" x14ac:dyDescent="0.35"/>
    <row r="414" ht="33.65" customHeight="1" x14ac:dyDescent="0.35"/>
    <row r="415" ht="33.65" customHeight="1" x14ac:dyDescent="0.35"/>
    <row r="416" ht="33.65" customHeight="1" x14ac:dyDescent="0.35"/>
    <row r="417" ht="33.65" customHeight="1" x14ac:dyDescent="0.35"/>
    <row r="418" ht="33.65" customHeight="1" x14ac:dyDescent="0.35"/>
    <row r="419" ht="33.65" customHeight="1" x14ac:dyDescent="0.35"/>
    <row r="420" ht="33.65" customHeight="1" x14ac:dyDescent="0.35"/>
    <row r="421" ht="33.65" customHeight="1" x14ac:dyDescent="0.35"/>
    <row r="422" ht="33.65" customHeight="1" x14ac:dyDescent="0.35"/>
    <row r="423" ht="33.65" customHeight="1" x14ac:dyDescent="0.35"/>
    <row r="424" ht="33.65" customHeight="1" x14ac:dyDescent="0.35"/>
    <row r="425" ht="33.65" customHeight="1" x14ac:dyDescent="0.35"/>
    <row r="426" ht="33.65" customHeight="1" x14ac:dyDescent="0.35"/>
    <row r="427" ht="33.65" customHeight="1" x14ac:dyDescent="0.35"/>
    <row r="428" ht="33.65" customHeight="1" x14ac:dyDescent="0.35"/>
    <row r="429" ht="33.65" customHeight="1" x14ac:dyDescent="0.35"/>
    <row r="430" ht="33.65" customHeight="1" x14ac:dyDescent="0.35"/>
    <row r="431" ht="33.65" customHeight="1" x14ac:dyDescent="0.35"/>
    <row r="432" ht="33.65" customHeight="1" x14ac:dyDescent="0.35"/>
    <row r="433" ht="33.65" customHeight="1" x14ac:dyDescent="0.35"/>
    <row r="434" ht="33.65" customHeight="1" x14ac:dyDescent="0.35"/>
    <row r="435" ht="33.65" customHeight="1" x14ac:dyDescent="0.35"/>
    <row r="436" ht="33.65" customHeight="1" x14ac:dyDescent="0.35"/>
    <row r="437" ht="33.65" customHeight="1" x14ac:dyDescent="0.35"/>
    <row r="438" ht="33.65" customHeight="1" x14ac:dyDescent="0.35"/>
    <row r="439" ht="33.65" customHeight="1" x14ac:dyDescent="0.35"/>
    <row r="440" ht="33.65" customHeight="1" x14ac:dyDescent="0.35"/>
    <row r="441" ht="33.65" customHeight="1" x14ac:dyDescent="0.35"/>
    <row r="442" ht="33.65" customHeight="1" x14ac:dyDescent="0.35"/>
    <row r="443" ht="33.65" customHeight="1" x14ac:dyDescent="0.35"/>
    <row r="444" ht="33.65" customHeight="1" x14ac:dyDescent="0.35"/>
    <row r="445" ht="33.65" customHeight="1" x14ac:dyDescent="0.35"/>
    <row r="446" ht="33.65" customHeight="1" x14ac:dyDescent="0.35"/>
    <row r="447" ht="33.65" customHeight="1" x14ac:dyDescent="0.35"/>
    <row r="448" ht="33.65" customHeight="1" x14ac:dyDescent="0.35"/>
    <row r="449" ht="33.65" customHeight="1" x14ac:dyDescent="0.35"/>
    <row r="450" ht="33.65" customHeight="1" x14ac:dyDescent="0.35"/>
    <row r="451" ht="33.65" customHeight="1" x14ac:dyDescent="0.35"/>
    <row r="452" ht="33.65" customHeight="1" x14ac:dyDescent="0.35"/>
    <row r="453" ht="33.65" customHeight="1" x14ac:dyDescent="0.35"/>
    <row r="454" ht="33.65" customHeight="1" x14ac:dyDescent="0.35"/>
    <row r="455" ht="33.65" customHeight="1" x14ac:dyDescent="0.35"/>
    <row r="456" ht="33.65" customHeight="1" x14ac:dyDescent="0.35"/>
    <row r="457" ht="33.65" customHeight="1" x14ac:dyDescent="0.35"/>
    <row r="458" ht="33.65" customHeight="1" x14ac:dyDescent="0.35"/>
    <row r="459" ht="33.65" customHeight="1" x14ac:dyDescent="0.35"/>
    <row r="460" ht="33.65" customHeight="1" x14ac:dyDescent="0.35"/>
    <row r="461" ht="33.65" customHeight="1" x14ac:dyDescent="0.35"/>
    <row r="462" ht="33.65" customHeight="1" x14ac:dyDescent="0.35"/>
    <row r="463" ht="33.65" customHeight="1" x14ac:dyDescent="0.35"/>
    <row r="464" ht="33.65" customHeight="1" x14ac:dyDescent="0.35"/>
    <row r="465" ht="33.65" customHeight="1" x14ac:dyDescent="0.35"/>
    <row r="466" ht="33.65" customHeight="1" x14ac:dyDescent="0.35"/>
    <row r="467" ht="33.65" customHeight="1" x14ac:dyDescent="0.35"/>
    <row r="468" ht="33.65" customHeight="1" x14ac:dyDescent="0.35"/>
    <row r="469" ht="33.65" customHeight="1" x14ac:dyDescent="0.35"/>
    <row r="470" ht="33.65" customHeight="1" x14ac:dyDescent="0.35"/>
    <row r="471" ht="33.65" customHeight="1" x14ac:dyDescent="0.35"/>
    <row r="472" ht="33.65" customHeight="1" x14ac:dyDescent="0.35"/>
    <row r="473" ht="33.65" customHeight="1" x14ac:dyDescent="0.35"/>
    <row r="474" ht="33.65" customHeight="1" x14ac:dyDescent="0.35"/>
    <row r="475" ht="33.65" customHeight="1" x14ac:dyDescent="0.35"/>
    <row r="476" ht="33.65" customHeight="1" x14ac:dyDescent="0.35"/>
    <row r="477" ht="33.65" customHeight="1" x14ac:dyDescent="0.35"/>
    <row r="478" ht="33.65" customHeight="1" x14ac:dyDescent="0.35"/>
    <row r="479" ht="33.65" customHeight="1" x14ac:dyDescent="0.35"/>
    <row r="480" ht="33.65" customHeight="1" x14ac:dyDescent="0.35"/>
    <row r="481" ht="33.65" customHeight="1" x14ac:dyDescent="0.35"/>
    <row r="482" ht="33.65" customHeight="1" x14ac:dyDescent="0.35"/>
    <row r="483" ht="33.65" customHeight="1" x14ac:dyDescent="0.35"/>
    <row r="484" ht="33.65" customHeight="1" x14ac:dyDescent="0.35"/>
    <row r="485" ht="33.65" customHeight="1" x14ac:dyDescent="0.35"/>
    <row r="486" ht="33.65" customHeight="1" x14ac:dyDescent="0.35"/>
    <row r="487" ht="33.65" customHeight="1" x14ac:dyDescent="0.35"/>
    <row r="488" ht="33.65" customHeight="1" x14ac:dyDescent="0.35"/>
    <row r="489" ht="33.65" customHeight="1" x14ac:dyDescent="0.35"/>
    <row r="490" ht="33.65" customHeight="1" x14ac:dyDescent="0.35"/>
    <row r="491" ht="33.65" customHeight="1" x14ac:dyDescent="0.35"/>
    <row r="492" ht="33.65" customHeight="1" x14ac:dyDescent="0.35"/>
    <row r="493" ht="33.65" customHeight="1" x14ac:dyDescent="0.35"/>
    <row r="494" ht="33.65" customHeight="1" x14ac:dyDescent="0.35"/>
    <row r="495" ht="33.65" customHeight="1" x14ac:dyDescent="0.35"/>
    <row r="496" ht="33.65" customHeight="1" x14ac:dyDescent="0.35"/>
    <row r="497" ht="33.65" customHeight="1" x14ac:dyDescent="0.35"/>
    <row r="498" ht="33.65" customHeight="1" x14ac:dyDescent="0.35"/>
    <row r="499" ht="33.65" customHeight="1" x14ac:dyDescent="0.35"/>
    <row r="500" ht="33.65" customHeight="1" x14ac:dyDescent="0.35"/>
    <row r="501" ht="33.65" customHeight="1" x14ac:dyDescent="0.35"/>
    <row r="502" ht="33.65" customHeight="1" x14ac:dyDescent="0.35"/>
    <row r="503" ht="33.65" customHeight="1" x14ac:dyDescent="0.35"/>
    <row r="504" ht="33.65" customHeight="1" x14ac:dyDescent="0.35"/>
    <row r="505" ht="33.65" customHeight="1" x14ac:dyDescent="0.35"/>
    <row r="506" ht="33.65" customHeight="1" x14ac:dyDescent="0.35"/>
    <row r="507" ht="33.65" customHeight="1" x14ac:dyDescent="0.35"/>
    <row r="508" ht="33.65" customHeight="1" x14ac:dyDescent="0.35"/>
    <row r="509" ht="33.65" customHeight="1" x14ac:dyDescent="0.35"/>
    <row r="510" ht="33.65" customHeight="1" x14ac:dyDescent="0.35"/>
    <row r="511" ht="33.65" customHeight="1" x14ac:dyDescent="0.35"/>
    <row r="512" ht="33.65" customHeight="1" x14ac:dyDescent="0.35"/>
    <row r="513" ht="33.65" customHeight="1" x14ac:dyDescent="0.35"/>
    <row r="514" ht="33.65" customHeight="1" x14ac:dyDescent="0.35"/>
    <row r="515" ht="33.65" customHeight="1" x14ac:dyDescent="0.35"/>
    <row r="516" ht="33.65" customHeight="1" x14ac:dyDescent="0.35"/>
    <row r="517" ht="33.65" customHeight="1" x14ac:dyDescent="0.35"/>
    <row r="518" ht="33.65" customHeight="1" x14ac:dyDescent="0.35"/>
    <row r="519" ht="33.65" customHeight="1" x14ac:dyDescent="0.35"/>
    <row r="520" ht="33.65" customHeight="1" x14ac:dyDescent="0.35"/>
    <row r="521" ht="33.65" customHeight="1" x14ac:dyDescent="0.35"/>
    <row r="522" ht="33.65" customHeight="1" x14ac:dyDescent="0.35"/>
    <row r="523" ht="33.65" customHeight="1" x14ac:dyDescent="0.35"/>
    <row r="524" ht="33.65" customHeight="1" x14ac:dyDescent="0.35"/>
    <row r="525" ht="33.65" customHeight="1" x14ac:dyDescent="0.35"/>
    <row r="526" ht="33.65" customHeight="1" x14ac:dyDescent="0.35"/>
    <row r="527" ht="33.65" customHeight="1" x14ac:dyDescent="0.35"/>
    <row r="528" ht="33.65" customHeight="1" x14ac:dyDescent="0.35"/>
    <row r="529" ht="33.65" customHeight="1" x14ac:dyDescent="0.35"/>
    <row r="530" ht="33.65" customHeight="1" x14ac:dyDescent="0.35"/>
    <row r="531" ht="33.65" customHeight="1" x14ac:dyDescent="0.35"/>
    <row r="532" ht="33.65" customHeight="1" x14ac:dyDescent="0.35"/>
    <row r="533" ht="33.65" customHeight="1" x14ac:dyDescent="0.35"/>
    <row r="534" ht="33.65" customHeight="1" x14ac:dyDescent="0.35"/>
    <row r="535" ht="33.65" customHeight="1" x14ac:dyDescent="0.35"/>
    <row r="536" ht="33.65" customHeight="1" x14ac:dyDescent="0.35"/>
    <row r="537" ht="33.65" customHeight="1" x14ac:dyDescent="0.35"/>
    <row r="538" ht="33.65" customHeight="1" x14ac:dyDescent="0.35"/>
    <row r="539" ht="33.65" customHeight="1" x14ac:dyDescent="0.35"/>
    <row r="540" ht="33.65" customHeight="1" x14ac:dyDescent="0.35"/>
    <row r="541" ht="33.65" customHeight="1" x14ac:dyDescent="0.35"/>
    <row r="542" ht="33.65" customHeight="1" x14ac:dyDescent="0.35"/>
    <row r="543" ht="33.65" customHeight="1" x14ac:dyDescent="0.35"/>
    <row r="544" ht="33.65" customHeight="1" x14ac:dyDescent="0.35"/>
    <row r="545" ht="33.65" customHeight="1" x14ac:dyDescent="0.35"/>
    <row r="546" ht="33.65" customHeight="1" x14ac:dyDescent="0.35"/>
    <row r="547" ht="33.65" customHeight="1" x14ac:dyDescent="0.35"/>
    <row r="548" ht="33.65" customHeight="1" x14ac:dyDescent="0.35"/>
    <row r="549" ht="33.65" customHeight="1" x14ac:dyDescent="0.35"/>
    <row r="550" ht="33.65" customHeight="1" x14ac:dyDescent="0.35"/>
    <row r="551" ht="33.65" customHeight="1" x14ac:dyDescent="0.35"/>
    <row r="552" ht="33.65" customHeight="1" x14ac:dyDescent="0.35"/>
    <row r="553" ht="33.65" customHeight="1" x14ac:dyDescent="0.35"/>
    <row r="554" ht="33.65" customHeight="1" x14ac:dyDescent="0.35"/>
    <row r="555" ht="33.65" customHeight="1" x14ac:dyDescent="0.35"/>
    <row r="556" ht="33.65" customHeight="1" x14ac:dyDescent="0.35"/>
    <row r="557" ht="33.65" customHeight="1" x14ac:dyDescent="0.35"/>
    <row r="558" ht="33.65" customHeight="1" x14ac:dyDescent="0.35"/>
    <row r="559" ht="33.65" customHeight="1" x14ac:dyDescent="0.35"/>
    <row r="560" ht="33.65" customHeight="1" x14ac:dyDescent="0.35"/>
    <row r="561" ht="33.65" customHeight="1" x14ac:dyDescent="0.35"/>
    <row r="562" ht="33.65" customHeight="1" x14ac:dyDescent="0.35"/>
    <row r="563" ht="33.65" customHeight="1" x14ac:dyDescent="0.35"/>
    <row r="564" ht="33.65" customHeight="1" x14ac:dyDescent="0.35"/>
    <row r="565" ht="33.65" customHeight="1" x14ac:dyDescent="0.35"/>
    <row r="566" ht="33.65" customHeight="1" x14ac:dyDescent="0.35"/>
    <row r="567" ht="33.65" customHeight="1" x14ac:dyDescent="0.35"/>
    <row r="568" ht="33.65" customHeight="1" x14ac:dyDescent="0.35"/>
    <row r="569" ht="33.65" customHeight="1" x14ac:dyDescent="0.35"/>
    <row r="570" ht="33.65" customHeight="1" x14ac:dyDescent="0.35"/>
    <row r="571" ht="33.65" customHeight="1" x14ac:dyDescent="0.35"/>
    <row r="572" ht="33.65" customHeight="1" x14ac:dyDescent="0.35"/>
    <row r="573" ht="33.65" customHeight="1" x14ac:dyDescent="0.35"/>
    <row r="574" ht="33.65" customHeight="1" x14ac:dyDescent="0.35"/>
    <row r="575" ht="33.65" customHeight="1" x14ac:dyDescent="0.35"/>
    <row r="576" ht="33.65" customHeight="1" x14ac:dyDescent="0.35"/>
    <row r="577" ht="33.65" customHeight="1" x14ac:dyDescent="0.35"/>
    <row r="578" ht="33.65" customHeight="1" x14ac:dyDescent="0.35"/>
    <row r="579" ht="33.65" customHeight="1" x14ac:dyDescent="0.35"/>
    <row r="580" ht="33.65" customHeight="1" x14ac:dyDescent="0.35"/>
    <row r="581" ht="33.65" customHeight="1" x14ac:dyDescent="0.35"/>
    <row r="582" ht="33.65" customHeight="1" x14ac:dyDescent="0.35"/>
    <row r="583" ht="33.65" customHeight="1" x14ac:dyDescent="0.35"/>
    <row r="584" ht="33.65" customHeight="1" x14ac:dyDescent="0.35"/>
    <row r="585" ht="33.65" customHeight="1" x14ac:dyDescent="0.35"/>
    <row r="586" ht="33.65" customHeight="1" x14ac:dyDescent="0.35"/>
    <row r="587" ht="33.65" customHeight="1" x14ac:dyDescent="0.35"/>
    <row r="588" ht="33.65" customHeight="1" x14ac:dyDescent="0.35"/>
    <row r="589" ht="33.65" customHeight="1" x14ac:dyDescent="0.35"/>
    <row r="590" ht="33.65" customHeight="1" x14ac:dyDescent="0.35"/>
    <row r="591" ht="33.65" customHeight="1" x14ac:dyDescent="0.35"/>
  </sheetData>
  <mergeCells count="2">
    <mergeCell ref="A1:I1"/>
    <mergeCell ref="A2:I2"/>
  </mergeCells>
  <dataValidations count="4">
    <dataValidation type="list" allowBlank="1" sqref="E5:E501" xr:uid="{00000000-0002-0000-0300-000000000000}">
      <formula1>"Duplicado,Revisión sistemática,Fuera de alcance,Otro"</formula1>
    </dataValidation>
    <dataValidation type="list" allowBlank="1" sqref="G5:G501" xr:uid="{00000000-0002-0000-0300-000001000000}">
      <formula1>"Sí,No"</formula1>
    </dataValidation>
    <dataValidation type="list" allowBlank="1" sqref="H5:H501" xr:uid="{00000000-0002-0000-0300-000002000000}">
      <formula1>"Primario,Revisión,Otro"</formula1>
    </dataValidation>
    <dataValidation type="list" allowBlank="1" sqref="I5:I501" xr:uid="{00000000-0002-0000-0300-000003000000}">
      <formula1>"Mantener,Excluir"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1"/>
  <sheetViews>
    <sheetView zoomScale="81" zoomScaleNormal="81" workbookViewId="0">
      <selection activeCell="C19" sqref="C19"/>
    </sheetView>
  </sheetViews>
  <sheetFormatPr defaultColWidth="8.90625" defaultRowHeight="14.5" x14ac:dyDescent="0.35"/>
  <cols>
    <col min="1" max="1" width="12.36328125" customWidth="1"/>
    <col min="2" max="2" width="16" customWidth="1"/>
    <col min="3" max="3" width="55" customWidth="1"/>
    <col min="4" max="4" width="45" customWidth="1"/>
    <col min="5" max="5" width="55" customWidth="1"/>
    <col min="6" max="9" width="13" customWidth="1"/>
    <col min="10" max="10" width="37.08984375" customWidth="1"/>
    <col min="11" max="11" width="44" customWidth="1"/>
    <col min="12" max="12" width="35" customWidth="1"/>
    <col min="13" max="13" width="55" customWidth="1"/>
    <col min="14" max="14" width="30" customWidth="1"/>
  </cols>
  <sheetData>
    <row r="1" spans="1:14" ht="17.5" customHeight="1" x14ac:dyDescent="0.35">
      <c r="A1" s="29" t="s">
        <v>271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28.75" customHeight="1" x14ac:dyDescent="0.35">
      <c r="A2" s="33" t="s">
        <v>272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s="38" customFormat="1" ht="28.75" customHeight="1" x14ac:dyDescent="0.35">
      <c r="A3" s="37" t="s">
        <v>373</v>
      </c>
      <c r="B3" s="37" t="s">
        <v>374</v>
      </c>
      <c r="C3" s="37" t="s">
        <v>375</v>
      </c>
      <c r="D3" s="37" t="s">
        <v>376</v>
      </c>
      <c r="E3" s="37" t="s">
        <v>377</v>
      </c>
      <c r="F3" s="37" t="s">
        <v>378</v>
      </c>
      <c r="G3" s="37" t="s">
        <v>379</v>
      </c>
      <c r="H3" s="37" t="s">
        <v>380</v>
      </c>
      <c r="I3" s="37" t="s">
        <v>381</v>
      </c>
      <c r="J3" s="37" t="s">
        <v>382</v>
      </c>
      <c r="K3" s="37" t="s">
        <v>383</v>
      </c>
      <c r="L3" s="37" t="s">
        <v>384</v>
      </c>
      <c r="M3" s="37" t="s">
        <v>385</v>
      </c>
      <c r="N3" s="37" t="s">
        <v>386</v>
      </c>
    </row>
    <row r="4" spans="1:14" ht="33.65" customHeight="1" x14ac:dyDescent="0.35">
      <c r="A4" s="34" t="s">
        <v>151</v>
      </c>
      <c r="B4" s="34" t="s">
        <v>5</v>
      </c>
      <c r="C4" s="34" t="s">
        <v>152</v>
      </c>
      <c r="D4" s="34" t="s">
        <v>273</v>
      </c>
      <c r="E4" s="34" t="s">
        <v>274</v>
      </c>
      <c r="F4" s="34" t="s">
        <v>275</v>
      </c>
      <c r="G4" s="34" t="s">
        <v>276</v>
      </c>
      <c r="H4" s="34" t="s">
        <v>277</v>
      </c>
      <c r="I4" s="34" t="s">
        <v>278</v>
      </c>
      <c r="J4" s="34" t="s">
        <v>279</v>
      </c>
      <c r="K4" s="34" t="s">
        <v>280</v>
      </c>
      <c r="L4" s="34" t="s">
        <v>281</v>
      </c>
      <c r="M4" s="34" t="s">
        <v>282</v>
      </c>
      <c r="N4" s="34" t="s">
        <v>283</v>
      </c>
    </row>
    <row r="5" spans="1:14" ht="33.65" customHeight="1" x14ac:dyDescent="0.35">
      <c r="A5" s="35" t="s">
        <v>162</v>
      </c>
      <c r="B5" s="35" t="s">
        <v>15</v>
      </c>
      <c r="C5" s="35" t="s">
        <v>163</v>
      </c>
      <c r="D5" s="35" t="s">
        <v>166</v>
      </c>
      <c r="E5" s="35" t="s">
        <v>167</v>
      </c>
      <c r="F5" s="35" t="s">
        <v>284</v>
      </c>
      <c r="G5" s="35" t="s">
        <v>285</v>
      </c>
      <c r="H5" s="35" t="s">
        <v>286</v>
      </c>
      <c r="I5" s="35" t="s">
        <v>287</v>
      </c>
      <c r="J5" s="35" t="s">
        <v>288</v>
      </c>
      <c r="K5" s="35" t="s">
        <v>168</v>
      </c>
      <c r="L5" s="35" t="s">
        <v>289</v>
      </c>
      <c r="M5" s="35" t="s">
        <v>290</v>
      </c>
      <c r="N5" s="35" t="s">
        <v>291</v>
      </c>
    </row>
    <row r="6" spans="1:14" ht="33.65" customHeight="1" x14ac:dyDescent="0.35">
      <c r="A6" s="35" t="s">
        <v>172</v>
      </c>
      <c r="B6" s="35" t="s">
        <v>15</v>
      </c>
      <c r="C6" s="35" t="s">
        <v>173</v>
      </c>
      <c r="D6" s="35" t="s">
        <v>176</v>
      </c>
      <c r="E6" s="35" t="s">
        <v>177</v>
      </c>
      <c r="F6" s="35" t="s">
        <v>292</v>
      </c>
      <c r="G6" s="35" t="s">
        <v>285</v>
      </c>
      <c r="H6" s="35" t="s">
        <v>286</v>
      </c>
      <c r="I6" s="35" t="s">
        <v>287</v>
      </c>
      <c r="J6" s="35" t="s">
        <v>293</v>
      </c>
      <c r="K6" s="35" t="s">
        <v>178</v>
      </c>
      <c r="L6" s="35" t="s">
        <v>294</v>
      </c>
      <c r="M6" s="35" t="s">
        <v>295</v>
      </c>
      <c r="N6" s="35" t="s">
        <v>291</v>
      </c>
    </row>
    <row r="7" spans="1:14" ht="33.65" customHeight="1" x14ac:dyDescent="0.35">
      <c r="A7" s="35" t="s">
        <v>181</v>
      </c>
      <c r="B7" s="35" t="s">
        <v>15</v>
      </c>
      <c r="C7" s="35" t="s">
        <v>182</v>
      </c>
      <c r="D7" s="35" t="s">
        <v>185</v>
      </c>
      <c r="E7" s="35" t="s">
        <v>186</v>
      </c>
      <c r="F7" s="35" t="s">
        <v>296</v>
      </c>
      <c r="G7" s="35" t="s">
        <v>285</v>
      </c>
      <c r="H7" s="35" t="s">
        <v>286</v>
      </c>
      <c r="I7" s="35" t="s">
        <v>287</v>
      </c>
      <c r="J7" s="35" t="s">
        <v>297</v>
      </c>
      <c r="K7" s="35" t="s">
        <v>168</v>
      </c>
      <c r="L7" s="35" t="s">
        <v>294</v>
      </c>
      <c r="M7" s="35" t="s">
        <v>298</v>
      </c>
      <c r="N7" s="35" t="s">
        <v>291</v>
      </c>
    </row>
    <row r="8" spans="1:14" ht="33.65" customHeight="1" x14ac:dyDescent="0.35">
      <c r="A8" s="35" t="s">
        <v>189</v>
      </c>
      <c r="B8" s="35" t="s">
        <v>190</v>
      </c>
      <c r="C8" s="35" t="s">
        <v>191</v>
      </c>
      <c r="D8" s="35" t="s">
        <v>194</v>
      </c>
      <c r="E8" s="35" t="s">
        <v>195</v>
      </c>
      <c r="F8" s="35" t="s">
        <v>299</v>
      </c>
      <c r="G8" s="35" t="s">
        <v>285</v>
      </c>
      <c r="H8" s="35" t="s">
        <v>286</v>
      </c>
      <c r="I8" s="35" t="s">
        <v>287</v>
      </c>
      <c r="J8" s="35" t="s">
        <v>300</v>
      </c>
      <c r="K8" s="35" t="s">
        <v>196</v>
      </c>
      <c r="L8" s="35" t="s">
        <v>289</v>
      </c>
      <c r="M8" s="35" t="s">
        <v>301</v>
      </c>
      <c r="N8" s="35" t="s">
        <v>291</v>
      </c>
    </row>
    <row r="9" spans="1:14" ht="33.65" customHeight="1" x14ac:dyDescent="0.35">
      <c r="A9" s="35" t="s">
        <v>198</v>
      </c>
      <c r="B9" s="35" t="s">
        <v>199</v>
      </c>
      <c r="C9" s="35" t="s">
        <v>200</v>
      </c>
      <c r="D9" s="35" t="s">
        <v>202</v>
      </c>
      <c r="E9" s="35" t="s">
        <v>203</v>
      </c>
      <c r="F9" s="35" t="s">
        <v>302</v>
      </c>
      <c r="G9" s="35" t="s">
        <v>285</v>
      </c>
      <c r="H9" s="35" t="s">
        <v>267</v>
      </c>
      <c r="I9" s="35" t="s">
        <v>287</v>
      </c>
      <c r="J9" s="35" t="s">
        <v>303</v>
      </c>
      <c r="K9" s="35" t="s">
        <v>196</v>
      </c>
      <c r="L9" s="35" t="s">
        <v>289</v>
      </c>
      <c r="M9" s="35" t="s">
        <v>304</v>
      </c>
      <c r="N9" s="35" t="s">
        <v>291</v>
      </c>
    </row>
    <row r="10" spans="1:14" ht="33.65" customHeight="1" x14ac:dyDescent="0.35">
      <c r="A10" s="35" t="s">
        <v>205</v>
      </c>
      <c r="B10" s="35" t="s">
        <v>206</v>
      </c>
      <c r="C10" s="35" t="s">
        <v>207</v>
      </c>
      <c r="D10" s="35" t="s">
        <v>209</v>
      </c>
      <c r="E10" s="35" t="s">
        <v>210</v>
      </c>
      <c r="F10" s="35" t="s">
        <v>267</v>
      </c>
      <c r="G10" s="35" t="s">
        <v>285</v>
      </c>
      <c r="H10" s="35" t="s">
        <v>267</v>
      </c>
      <c r="I10" s="35" t="s">
        <v>305</v>
      </c>
      <c r="J10" s="35" t="s">
        <v>306</v>
      </c>
      <c r="K10" s="35" t="s">
        <v>196</v>
      </c>
      <c r="L10" s="35" t="s">
        <v>289</v>
      </c>
      <c r="M10" s="35" t="s">
        <v>307</v>
      </c>
      <c r="N10" s="35" t="s">
        <v>291</v>
      </c>
    </row>
    <row r="11" spans="1:14" ht="33.65" customHeight="1" x14ac:dyDescent="0.35">
      <c r="A11" s="35" t="s">
        <v>212</v>
      </c>
      <c r="B11" s="35" t="s">
        <v>213</v>
      </c>
      <c r="C11" s="35" t="s">
        <v>214</v>
      </c>
      <c r="D11" s="35" t="s">
        <v>217</v>
      </c>
      <c r="E11" s="35" t="s">
        <v>218</v>
      </c>
      <c r="F11" s="35" t="s">
        <v>267</v>
      </c>
      <c r="G11" s="35" t="s">
        <v>285</v>
      </c>
      <c r="H11" s="35" t="s">
        <v>267</v>
      </c>
      <c r="I11" s="35" t="s">
        <v>305</v>
      </c>
      <c r="J11" s="35" t="s">
        <v>308</v>
      </c>
      <c r="K11" s="35" t="s">
        <v>196</v>
      </c>
      <c r="L11" s="35" t="s">
        <v>289</v>
      </c>
      <c r="M11" s="35" t="s">
        <v>309</v>
      </c>
      <c r="N11" s="35" t="s">
        <v>291</v>
      </c>
    </row>
    <row r="12" spans="1:14" ht="33.65" customHeight="1" x14ac:dyDescent="0.35">
      <c r="A12" s="35" t="s">
        <v>220</v>
      </c>
      <c r="B12" s="35" t="s">
        <v>221</v>
      </c>
      <c r="C12" s="35" t="s">
        <v>222</v>
      </c>
      <c r="D12" s="35" t="s">
        <v>225</v>
      </c>
      <c r="E12" s="35" t="s">
        <v>226</v>
      </c>
      <c r="F12" s="35" t="s">
        <v>267</v>
      </c>
      <c r="G12" s="35" t="s">
        <v>285</v>
      </c>
      <c r="H12" s="35" t="s">
        <v>267</v>
      </c>
      <c r="I12" s="35" t="s">
        <v>305</v>
      </c>
      <c r="J12" s="35" t="s">
        <v>310</v>
      </c>
      <c r="K12" s="35" t="s">
        <v>196</v>
      </c>
      <c r="L12" s="35" t="s">
        <v>294</v>
      </c>
      <c r="M12" s="35" t="s">
        <v>133</v>
      </c>
      <c r="N12" s="35" t="s">
        <v>291</v>
      </c>
    </row>
    <row r="13" spans="1:14" ht="33.65" customHeight="1" x14ac:dyDescent="0.35">
      <c r="A13" s="35" t="s">
        <v>228</v>
      </c>
      <c r="B13" s="35" t="s">
        <v>229</v>
      </c>
      <c r="C13" s="35" t="s">
        <v>230</v>
      </c>
      <c r="D13" s="35" t="s">
        <v>233</v>
      </c>
      <c r="E13" s="35" t="s">
        <v>234</v>
      </c>
      <c r="F13" s="35" t="s">
        <v>267</v>
      </c>
      <c r="G13" s="35" t="s">
        <v>285</v>
      </c>
      <c r="H13" s="35" t="s">
        <v>267</v>
      </c>
      <c r="I13" s="35" t="s">
        <v>305</v>
      </c>
      <c r="J13" s="35" t="s">
        <v>311</v>
      </c>
      <c r="K13" s="35" t="s">
        <v>196</v>
      </c>
      <c r="L13" s="35" t="s">
        <v>294</v>
      </c>
      <c r="M13" s="35" t="s">
        <v>312</v>
      </c>
      <c r="N13" s="35" t="s">
        <v>291</v>
      </c>
    </row>
    <row r="14" spans="1:14" ht="33.65" customHeight="1" x14ac:dyDescent="0.35">
      <c r="A14" s="35" t="s">
        <v>236</v>
      </c>
      <c r="B14" s="35" t="s">
        <v>237</v>
      </c>
      <c r="C14" s="35" t="s">
        <v>238</v>
      </c>
      <c r="D14" s="35" t="s">
        <v>241</v>
      </c>
      <c r="E14" s="35" t="s">
        <v>242</v>
      </c>
      <c r="F14" s="35" t="s">
        <v>267</v>
      </c>
      <c r="G14" s="35" t="s">
        <v>285</v>
      </c>
      <c r="H14" s="35" t="s">
        <v>267</v>
      </c>
      <c r="I14" s="35" t="s">
        <v>305</v>
      </c>
      <c r="J14" s="35" t="s">
        <v>313</v>
      </c>
      <c r="K14" s="35" t="s">
        <v>243</v>
      </c>
      <c r="L14" s="35" t="s">
        <v>294</v>
      </c>
      <c r="M14" s="35" t="s">
        <v>314</v>
      </c>
      <c r="N14" s="35" t="s">
        <v>291</v>
      </c>
    </row>
    <row r="15" spans="1:14" ht="33.65" customHeight="1" x14ac:dyDescent="0.35">
      <c r="A15" s="35" t="s">
        <v>245</v>
      </c>
      <c r="B15" s="35" t="s">
        <v>246</v>
      </c>
      <c r="C15" s="35" t="s">
        <v>247</v>
      </c>
      <c r="D15" s="35" t="s">
        <v>249</v>
      </c>
      <c r="E15" s="35" t="s">
        <v>250</v>
      </c>
      <c r="F15" s="35" t="s">
        <v>315</v>
      </c>
      <c r="G15" s="35" t="s">
        <v>285</v>
      </c>
      <c r="H15" s="35" t="s">
        <v>267</v>
      </c>
      <c r="I15" s="35" t="s">
        <v>287</v>
      </c>
      <c r="J15" s="35" t="s">
        <v>316</v>
      </c>
      <c r="K15" s="35" t="s">
        <v>196</v>
      </c>
      <c r="L15" s="35" t="s">
        <v>294</v>
      </c>
      <c r="M15" s="35" t="s">
        <v>317</v>
      </c>
      <c r="N15" s="35" t="s">
        <v>291</v>
      </c>
    </row>
    <row r="16" spans="1:14" ht="33.65" customHeight="1" x14ac:dyDescent="0.35">
      <c r="A16" s="36" t="s">
        <v>253</v>
      </c>
      <c r="B16" s="36" t="s">
        <v>190</v>
      </c>
      <c r="C16" s="36" t="s">
        <v>254</v>
      </c>
      <c r="D16" s="36" t="s">
        <v>256</v>
      </c>
      <c r="E16" s="36" t="s">
        <v>257</v>
      </c>
      <c r="F16" s="36" t="s">
        <v>318</v>
      </c>
      <c r="G16" s="36" t="s">
        <v>285</v>
      </c>
      <c r="H16" s="36" t="s">
        <v>267</v>
      </c>
      <c r="I16" s="36" t="s">
        <v>287</v>
      </c>
      <c r="J16" s="36" t="s">
        <v>319</v>
      </c>
      <c r="K16" s="36" t="s">
        <v>196</v>
      </c>
      <c r="L16" s="36" t="s">
        <v>320</v>
      </c>
      <c r="M16" s="36" t="s">
        <v>321</v>
      </c>
      <c r="N16" s="36" t="s">
        <v>267</v>
      </c>
    </row>
    <row r="17" ht="33.65" customHeight="1" x14ac:dyDescent="0.35"/>
    <row r="18" ht="33.65" customHeight="1" x14ac:dyDescent="0.35"/>
    <row r="19" ht="33.65" customHeight="1" x14ac:dyDescent="0.35"/>
    <row r="20" ht="33.65" customHeight="1" x14ac:dyDescent="0.35"/>
    <row r="21" ht="33.65" customHeight="1" x14ac:dyDescent="0.35"/>
    <row r="22" ht="33.65" customHeight="1" x14ac:dyDescent="0.35"/>
    <row r="23" ht="33.65" customHeight="1" x14ac:dyDescent="0.35"/>
    <row r="24" ht="33.65" customHeight="1" x14ac:dyDescent="0.35"/>
    <row r="25" ht="33.65" customHeight="1" x14ac:dyDescent="0.35"/>
    <row r="26" ht="33.65" customHeight="1" x14ac:dyDescent="0.35"/>
    <row r="27" ht="33.65" customHeight="1" x14ac:dyDescent="0.35"/>
    <row r="28" ht="33.65" customHeight="1" x14ac:dyDescent="0.35"/>
    <row r="29" ht="33.65" customHeight="1" x14ac:dyDescent="0.35"/>
    <row r="30" ht="33.65" customHeight="1" x14ac:dyDescent="0.35"/>
    <row r="31" ht="33.65" customHeight="1" x14ac:dyDescent="0.35"/>
    <row r="32" ht="33.65" customHeight="1" x14ac:dyDescent="0.35"/>
    <row r="33" ht="33.65" customHeight="1" x14ac:dyDescent="0.35"/>
    <row r="34" ht="33.65" customHeight="1" x14ac:dyDescent="0.35"/>
    <row r="35" ht="33.65" customHeight="1" x14ac:dyDescent="0.35"/>
    <row r="36" ht="33.65" customHeight="1" x14ac:dyDescent="0.35"/>
    <row r="37" ht="33.65" customHeight="1" x14ac:dyDescent="0.35"/>
    <row r="38" ht="33.65" customHeight="1" x14ac:dyDescent="0.35"/>
    <row r="39" ht="33.65" customHeight="1" x14ac:dyDescent="0.35"/>
    <row r="40" ht="33.65" customHeight="1" x14ac:dyDescent="0.35"/>
    <row r="41" ht="33.65" customHeight="1" x14ac:dyDescent="0.35"/>
    <row r="42" ht="33.65" customHeight="1" x14ac:dyDescent="0.35"/>
    <row r="43" ht="33.65" customHeight="1" x14ac:dyDescent="0.35"/>
    <row r="44" ht="33.65" customHeight="1" x14ac:dyDescent="0.35"/>
    <row r="45" ht="33.65" customHeight="1" x14ac:dyDescent="0.35"/>
    <row r="46" ht="33.65" customHeight="1" x14ac:dyDescent="0.35"/>
    <row r="47" ht="33.65" customHeight="1" x14ac:dyDescent="0.35"/>
    <row r="48" ht="33.65" customHeight="1" x14ac:dyDescent="0.35"/>
    <row r="49" ht="33.65" customHeight="1" x14ac:dyDescent="0.35"/>
    <row r="50" ht="33.65" customHeight="1" x14ac:dyDescent="0.35"/>
    <row r="51" ht="33.65" customHeight="1" x14ac:dyDescent="0.35"/>
    <row r="52" ht="33.65" customHeight="1" x14ac:dyDescent="0.35"/>
    <row r="53" ht="33.65" customHeight="1" x14ac:dyDescent="0.35"/>
    <row r="54" ht="33.65" customHeight="1" x14ac:dyDescent="0.35"/>
    <row r="55" ht="33.65" customHeight="1" x14ac:dyDescent="0.35"/>
    <row r="56" ht="33.65" customHeight="1" x14ac:dyDescent="0.35"/>
    <row r="57" ht="33.65" customHeight="1" x14ac:dyDescent="0.35"/>
    <row r="58" ht="33.65" customHeight="1" x14ac:dyDescent="0.35"/>
    <row r="59" ht="33.65" customHeight="1" x14ac:dyDescent="0.35"/>
    <row r="60" ht="33.65" customHeight="1" x14ac:dyDescent="0.35"/>
    <row r="61" ht="33.65" customHeight="1" x14ac:dyDescent="0.35"/>
    <row r="62" ht="33.65" customHeight="1" x14ac:dyDescent="0.35"/>
    <row r="63" ht="33.65" customHeight="1" x14ac:dyDescent="0.35"/>
    <row r="64" ht="33.65" customHeight="1" x14ac:dyDescent="0.35"/>
    <row r="65" ht="33.65" customHeight="1" x14ac:dyDescent="0.35"/>
    <row r="66" ht="33.65" customHeight="1" x14ac:dyDescent="0.35"/>
    <row r="67" ht="33.65" customHeight="1" x14ac:dyDescent="0.35"/>
    <row r="68" ht="33.65" customHeight="1" x14ac:dyDescent="0.35"/>
    <row r="69" ht="33.65" customHeight="1" x14ac:dyDescent="0.35"/>
    <row r="70" ht="33.65" customHeight="1" x14ac:dyDescent="0.35"/>
    <row r="71" ht="33.65" customHeight="1" x14ac:dyDescent="0.35"/>
    <row r="72" ht="33.65" customHeight="1" x14ac:dyDescent="0.35"/>
    <row r="73" ht="33.65" customHeight="1" x14ac:dyDescent="0.35"/>
    <row r="74" ht="33.65" customHeight="1" x14ac:dyDescent="0.35"/>
    <row r="75" ht="33.65" customHeight="1" x14ac:dyDescent="0.35"/>
    <row r="76" ht="33.65" customHeight="1" x14ac:dyDescent="0.35"/>
    <row r="77" ht="33.65" customHeight="1" x14ac:dyDescent="0.35"/>
    <row r="78" ht="33.65" customHeight="1" x14ac:dyDescent="0.35"/>
    <row r="79" ht="33.65" customHeight="1" x14ac:dyDescent="0.35"/>
    <row r="80" ht="33.65" customHeight="1" x14ac:dyDescent="0.35"/>
    <row r="81" ht="33.65" customHeight="1" x14ac:dyDescent="0.35"/>
    <row r="82" ht="33.65" customHeight="1" x14ac:dyDescent="0.35"/>
    <row r="83" ht="33.65" customHeight="1" x14ac:dyDescent="0.35"/>
    <row r="84" ht="33.65" customHeight="1" x14ac:dyDescent="0.35"/>
    <row r="85" ht="33.65" customHeight="1" x14ac:dyDescent="0.35"/>
    <row r="86" ht="33.65" customHeight="1" x14ac:dyDescent="0.35"/>
    <row r="87" ht="33.65" customHeight="1" x14ac:dyDescent="0.35"/>
    <row r="88" ht="33.65" customHeight="1" x14ac:dyDescent="0.35"/>
    <row r="89" ht="33.65" customHeight="1" x14ac:dyDescent="0.35"/>
    <row r="90" ht="33.65" customHeight="1" x14ac:dyDescent="0.35"/>
    <row r="91" ht="33.65" customHeight="1" x14ac:dyDescent="0.35"/>
    <row r="92" ht="33.65" customHeight="1" x14ac:dyDescent="0.35"/>
    <row r="93" ht="33.65" customHeight="1" x14ac:dyDescent="0.35"/>
    <row r="94" ht="33.65" customHeight="1" x14ac:dyDescent="0.35"/>
    <row r="95" ht="33.65" customHeight="1" x14ac:dyDescent="0.35"/>
    <row r="96" ht="33.65" customHeight="1" x14ac:dyDescent="0.35"/>
    <row r="97" ht="33.65" customHeight="1" x14ac:dyDescent="0.35"/>
    <row r="98" ht="33.65" customHeight="1" x14ac:dyDescent="0.35"/>
    <row r="99" ht="33.65" customHeight="1" x14ac:dyDescent="0.35"/>
    <row r="100" ht="33.65" customHeight="1" x14ac:dyDescent="0.35"/>
    <row r="101" ht="33.65" customHeight="1" x14ac:dyDescent="0.35"/>
    <row r="102" ht="33.65" customHeight="1" x14ac:dyDescent="0.35"/>
    <row r="103" ht="33.65" customHeight="1" x14ac:dyDescent="0.35"/>
    <row r="104" ht="33.65" customHeight="1" x14ac:dyDescent="0.35"/>
    <row r="105" ht="33.65" customHeight="1" x14ac:dyDescent="0.35"/>
    <row r="106" ht="33.65" customHeight="1" x14ac:dyDescent="0.35"/>
    <row r="107" ht="33.65" customHeight="1" x14ac:dyDescent="0.35"/>
    <row r="108" ht="33.65" customHeight="1" x14ac:dyDescent="0.35"/>
    <row r="109" ht="33.65" customHeight="1" x14ac:dyDescent="0.35"/>
    <row r="110" ht="33.65" customHeight="1" x14ac:dyDescent="0.35"/>
    <row r="111" ht="33.65" customHeight="1" x14ac:dyDescent="0.35"/>
    <row r="112" ht="33.65" customHeight="1" x14ac:dyDescent="0.35"/>
    <row r="113" ht="33.65" customHeight="1" x14ac:dyDescent="0.35"/>
    <row r="114" ht="33.65" customHeight="1" x14ac:dyDescent="0.35"/>
    <row r="115" ht="33.65" customHeight="1" x14ac:dyDescent="0.35"/>
    <row r="116" ht="33.65" customHeight="1" x14ac:dyDescent="0.35"/>
    <row r="117" ht="33.65" customHeight="1" x14ac:dyDescent="0.35"/>
    <row r="118" ht="33.65" customHeight="1" x14ac:dyDescent="0.35"/>
    <row r="119" ht="33.65" customHeight="1" x14ac:dyDescent="0.35"/>
    <row r="120" ht="33.65" customHeight="1" x14ac:dyDescent="0.35"/>
    <row r="121" ht="33.65" customHeight="1" x14ac:dyDescent="0.35"/>
    <row r="122" ht="33.65" customHeight="1" x14ac:dyDescent="0.35"/>
    <row r="123" ht="33.65" customHeight="1" x14ac:dyDescent="0.35"/>
    <row r="124" ht="33.65" customHeight="1" x14ac:dyDescent="0.35"/>
    <row r="125" ht="33.65" customHeight="1" x14ac:dyDescent="0.35"/>
    <row r="126" ht="33.65" customHeight="1" x14ac:dyDescent="0.35"/>
    <row r="127" ht="33.65" customHeight="1" x14ac:dyDescent="0.35"/>
    <row r="128" ht="33.65" customHeight="1" x14ac:dyDescent="0.35"/>
    <row r="129" ht="33.65" customHeight="1" x14ac:dyDescent="0.35"/>
    <row r="130" ht="33.65" customHeight="1" x14ac:dyDescent="0.35"/>
    <row r="131" ht="33.65" customHeight="1" x14ac:dyDescent="0.35"/>
    <row r="132" ht="33.65" customHeight="1" x14ac:dyDescent="0.35"/>
    <row r="133" ht="33.65" customHeight="1" x14ac:dyDescent="0.35"/>
    <row r="134" ht="33.65" customHeight="1" x14ac:dyDescent="0.35"/>
    <row r="135" ht="33.65" customHeight="1" x14ac:dyDescent="0.35"/>
    <row r="136" ht="33.65" customHeight="1" x14ac:dyDescent="0.35"/>
    <row r="137" ht="33.65" customHeight="1" x14ac:dyDescent="0.35"/>
    <row r="138" ht="33.65" customHeight="1" x14ac:dyDescent="0.35"/>
    <row r="139" ht="33.65" customHeight="1" x14ac:dyDescent="0.35"/>
    <row r="140" ht="33.65" customHeight="1" x14ac:dyDescent="0.35"/>
    <row r="141" ht="33.65" customHeight="1" x14ac:dyDescent="0.35"/>
    <row r="142" ht="33.65" customHeight="1" x14ac:dyDescent="0.35"/>
    <row r="143" ht="33.65" customHeight="1" x14ac:dyDescent="0.35"/>
    <row r="144" ht="33.65" customHeight="1" x14ac:dyDescent="0.35"/>
    <row r="145" ht="33.65" customHeight="1" x14ac:dyDescent="0.35"/>
    <row r="146" ht="33.65" customHeight="1" x14ac:dyDescent="0.35"/>
    <row r="147" ht="33.65" customHeight="1" x14ac:dyDescent="0.35"/>
    <row r="148" ht="33.65" customHeight="1" x14ac:dyDescent="0.35"/>
    <row r="149" ht="33.65" customHeight="1" x14ac:dyDescent="0.35"/>
    <row r="150" ht="33.65" customHeight="1" x14ac:dyDescent="0.35"/>
    <row r="151" ht="33.65" customHeight="1" x14ac:dyDescent="0.35"/>
    <row r="152" ht="33.65" customHeight="1" x14ac:dyDescent="0.35"/>
    <row r="153" ht="33.65" customHeight="1" x14ac:dyDescent="0.35"/>
    <row r="154" ht="33.65" customHeight="1" x14ac:dyDescent="0.35"/>
    <row r="155" ht="33.65" customHeight="1" x14ac:dyDescent="0.35"/>
    <row r="156" ht="33.65" customHeight="1" x14ac:dyDescent="0.35"/>
    <row r="157" ht="33.65" customHeight="1" x14ac:dyDescent="0.35"/>
    <row r="158" ht="33.65" customHeight="1" x14ac:dyDescent="0.35"/>
    <row r="159" ht="33.65" customHeight="1" x14ac:dyDescent="0.35"/>
    <row r="160" ht="33.65" customHeight="1" x14ac:dyDescent="0.35"/>
    <row r="161" ht="33.65" customHeight="1" x14ac:dyDescent="0.35"/>
    <row r="162" ht="33.65" customHeight="1" x14ac:dyDescent="0.35"/>
    <row r="163" ht="33.65" customHeight="1" x14ac:dyDescent="0.35"/>
    <row r="164" ht="33.65" customHeight="1" x14ac:dyDescent="0.35"/>
    <row r="165" ht="33.65" customHeight="1" x14ac:dyDescent="0.35"/>
    <row r="166" ht="33.65" customHeight="1" x14ac:dyDescent="0.35"/>
    <row r="167" ht="33.65" customHeight="1" x14ac:dyDescent="0.35"/>
    <row r="168" ht="33.65" customHeight="1" x14ac:dyDescent="0.35"/>
    <row r="169" ht="33.65" customHeight="1" x14ac:dyDescent="0.35"/>
    <row r="170" ht="33.65" customHeight="1" x14ac:dyDescent="0.35"/>
    <row r="171" ht="33.65" customHeight="1" x14ac:dyDescent="0.35"/>
    <row r="172" ht="33.65" customHeight="1" x14ac:dyDescent="0.35"/>
    <row r="173" ht="33.65" customHeight="1" x14ac:dyDescent="0.35"/>
    <row r="174" ht="33.65" customHeight="1" x14ac:dyDescent="0.35"/>
    <row r="175" ht="33.65" customHeight="1" x14ac:dyDescent="0.35"/>
    <row r="176" ht="33.65" customHeight="1" x14ac:dyDescent="0.35"/>
    <row r="177" ht="33.65" customHeight="1" x14ac:dyDescent="0.35"/>
    <row r="178" ht="33.65" customHeight="1" x14ac:dyDescent="0.35"/>
    <row r="179" ht="33.65" customHeight="1" x14ac:dyDescent="0.35"/>
    <row r="180" ht="33.65" customHeight="1" x14ac:dyDescent="0.35"/>
    <row r="181" ht="33.65" customHeight="1" x14ac:dyDescent="0.35"/>
    <row r="182" ht="33.65" customHeight="1" x14ac:dyDescent="0.35"/>
    <row r="183" ht="33.65" customHeight="1" x14ac:dyDescent="0.35"/>
    <row r="184" ht="33.65" customHeight="1" x14ac:dyDescent="0.35"/>
    <row r="185" ht="33.65" customHeight="1" x14ac:dyDescent="0.35"/>
    <row r="186" ht="33.65" customHeight="1" x14ac:dyDescent="0.35"/>
    <row r="187" ht="33.65" customHeight="1" x14ac:dyDescent="0.35"/>
    <row r="188" ht="33.65" customHeight="1" x14ac:dyDescent="0.35"/>
    <row r="189" ht="33.65" customHeight="1" x14ac:dyDescent="0.35"/>
    <row r="190" ht="33.65" customHeight="1" x14ac:dyDescent="0.35"/>
    <row r="191" ht="33.65" customHeight="1" x14ac:dyDescent="0.35"/>
    <row r="192" ht="33.65" customHeight="1" x14ac:dyDescent="0.35"/>
    <row r="193" ht="33.65" customHeight="1" x14ac:dyDescent="0.35"/>
    <row r="194" ht="33.65" customHeight="1" x14ac:dyDescent="0.35"/>
    <row r="195" ht="33.65" customHeight="1" x14ac:dyDescent="0.35"/>
    <row r="196" ht="33.65" customHeight="1" x14ac:dyDescent="0.35"/>
    <row r="197" ht="33.65" customHeight="1" x14ac:dyDescent="0.35"/>
    <row r="198" ht="33.65" customHeight="1" x14ac:dyDescent="0.35"/>
    <row r="199" ht="33.65" customHeight="1" x14ac:dyDescent="0.35"/>
    <row r="200" ht="33.65" customHeight="1" x14ac:dyDescent="0.35"/>
    <row r="201" ht="33.65" customHeight="1" x14ac:dyDescent="0.35"/>
  </sheetData>
  <mergeCells count="2">
    <mergeCell ref="A2:N2"/>
    <mergeCell ref="A1:N1"/>
  </mergeCells>
  <dataValidations count="3">
    <dataValidation type="list" allowBlank="1" sqref="K5:K501" xr:uid="{00000000-0002-0000-0400-000000000000}">
      <formula1>"Primario,Revisión,Otro"</formula1>
    </dataValidation>
    <dataValidation type="list" allowBlank="1" sqref="L5:L501" xr:uid="{00000000-0002-0000-0400-000001000000}">
      <formula1>"Alto,Medio,Bajo"</formula1>
    </dataValidation>
    <dataValidation type="list" allowBlank="1" sqref="N5:N501" xr:uid="{00000000-0002-0000-0400-000002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1"/>
  <sheetViews>
    <sheetView workbookViewId="0">
      <selection activeCell="C6" sqref="C6"/>
    </sheetView>
  </sheetViews>
  <sheetFormatPr defaultColWidth="8.90625" defaultRowHeight="14.5" x14ac:dyDescent="0.35"/>
  <cols>
    <col min="1" max="1" width="12" customWidth="1"/>
    <col min="2" max="2" width="16" customWidth="1"/>
    <col min="3" max="3" width="55" customWidth="1"/>
    <col min="4" max="4" width="12" customWidth="1"/>
    <col min="5" max="13" width="13" customWidth="1"/>
    <col min="14" max="14" width="13.81640625" customWidth="1"/>
    <col min="15" max="15" width="16" customWidth="1"/>
    <col min="16" max="16" width="55" customWidth="1"/>
  </cols>
  <sheetData>
    <row r="1" spans="1:16" ht="17.5" customHeight="1" x14ac:dyDescent="0.35">
      <c r="A1" s="39" t="s">
        <v>322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s="42" customFormat="1" ht="28.75" customHeight="1" x14ac:dyDescent="0.35">
      <c r="A2" s="33" t="s">
        <v>323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s="38" customFormat="1" x14ac:dyDescent="0.35">
      <c r="A3" s="37" t="s">
        <v>151</v>
      </c>
      <c r="B3" s="37" t="s">
        <v>5</v>
      </c>
      <c r="C3" s="37" t="s">
        <v>152</v>
      </c>
      <c r="D3" s="37" t="s">
        <v>80</v>
      </c>
      <c r="E3" s="37" t="s">
        <v>82</v>
      </c>
      <c r="F3" s="37" t="s">
        <v>84</v>
      </c>
      <c r="G3" s="37" t="s">
        <v>86</v>
      </c>
      <c r="H3" s="37" t="s">
        <v>88</v>
      </c>
      <c r="I3" s="37" t="s">
        <v>90</v>
      </c>
      <c r="J3" s="37" t="s">
        <v>92</v>
      </c>
      <c r="K3" s="37" t="s">
        <v>94</v>
      </c>
      <c r="L3" s="37" t="s">
        <v>96</v>
      </c>
      <c r="M3" s="37" t="s">
        <v>98</v>
      </c>
      <c r="N3" s="37" t="s">
        <v>324</v>
      </c>
      <c r="O3" s="37" t="s">
        <v>325</v>
      </c>
      <c r="P3" s="37" t="s">
        <v>326</v>
      </c>
    </row>
    <row r="4" spans="1:16" ht="33.65" customHeight="1" x14ac:dyDescent="0.35">
      <c r="A4" s="35" t="s">
        <v>162</v>
      </c>
      <c r="B4" s="35" t="s">
        <v>15</v>
      </c>
      <c r="C4" s="35" t="s">
        <v>163</v>
      </c>
      <c r="D4" s="35">
        <v>2</v>
      </c>
      <c r="E4" s="35">
        <v>2</v>
      </c>
      <c r="F4" s="35">
        <v>2</v>
      </c>
      <c r="G4" s="35">
        <v>2</v>
      </c>
      <c r="H4" s="35">
        <v>2</v>
      </c>
      <c r="I4" s="35">
        <v>1</v>
      </c>
      <c r="J4" s="35">
        <v>2</v>
      </c>
      <c r="K4" s="35">
        <v>1</v>
      </c>
      <c r="L4" s="35">
        <v>2</v>
      </c>
      <c r="M4" s="35">
        <v>2</v>
      </c>
      <c r="N4" s="35">
        <f t="shared" ref="N4:N15" si="0">IF(COUNT(D4:M4)=0,"",SUM(D4:M4))</f>
        <v>18</v>
      </c>
      <c r="O4" s="35" t="str">
        <f t="shared" ref="O4:O15" si="1">IF(N4="","",IF(N4&gt;=16,"Alta calidad",IF(N4&gt;=11,"Media calidad","Baja calidad")))</f>
        <v>Alta calidad</v>
      </c>
      <c r="P4" s="35" t="s">
        <v>290</v>
      </c>
    </row>
    <row r="5" spans="1:16" ht="33.65" customHeight="1" x14ac:dyDescent="0.35">
      <c r="A5" s="35" t="s">
        <v>172</v>
      </c>
      <c r="B5" s="35" t="s">
        <v>15</v>
      </c>
      <c r="C5" s="35" t="s">
        <v>173</v>
      </c>
      <c r="D5" s="35">
        <v>2</v>
      </c>
      <c r="E5" s="35">
        <v>1</v>
      </c>
      <c r="F5" s="35">
        <v>2</v>
      </c>
      <c r="G5" s="35">
        <v>1</v>
      </c>
      <c r="H5" s="35">
        <v>2</v>
      </c>
      <c r="I5" s="35">
        <v>2</v>
      </c>
      <c r="J5" s="35">
        <v>2</v>
      </c>
      <c r="K5" s="35">
        <v>1</v>
      </c>
      <c r="L5" s="35">
        <v>2</v>
      </c>
      <c r="M5" s="35">
        <v>2</v>
      </c>
      <c r="N5" s="35">
        <f t="shared" si="0"/>
        <v>17</v>
      </c>
      <c r="O5" s="35" t="str">
        <f t="shared" si="1"/>
        <v>Alta calidad</v>
      </c>
      <c r="P5" s="35" t="s">
        <v>295</v>
      </c>
    </row>
    <row r="6" spans="1:16" ht="33.65" customHeight="1" x14ac:dyDescent="0.35">
      <c r="A6" s="35" t="s">
        <v>181</v>
      </c>
      <c r="B6" s="35" t="s">
        <v>15</v>
      </c>
      <c r="C6" s="35" t="s">
        <v>182</v>
      </c>
      <c r="D6" s="35">
        <v>2</v>
      </c>
      <c r="E6" s="35">
        <v>1</v>
      </c>
      <c r="F6" s="35">
        <v>2</v>
      </c>
      <c r="G6" s="35">
        <v>1</v>
      </c>
      <c r="H6" s="35">
        <v>2</v>
      </c>
      <c r="I6" s="35">
        <v>1</v>
      </c>
      <c r="J6" s="35">
        <v>2</v>
      </c>
      <c r="K6" s="35">
        <v>1</v>
      </c>
      <c r="L6" s="35">
        <v>2</v>
      </c>
      <c r="M6" s="35">
        <v>2</v>
      </c>
      <c r="N6" s="35">
        <f t="shared" si="0"/>
        <v>16</v>
      </c>
      <c r="O6" s="35" t="str">
        <f t="shared" si="1"/>
        <v>Alta calidad</v>
      </c>
      <c r="P6" s="35" t="s">
        <v>298</v>
      </c>
    </row>
    <row r="7" spans="1:16" ht="33.65" customHeight="1" x14ac:dyDescent="0.35">
      <c r="A7" s="35" t="s">
        <v>189</v>
      </c>
      <c r="B7" s="35" t="s">
        <v>190</v>
      </c>
      <c r="C7" s="35" t="s">
        <v>191</v>
      </c>
      <c r="D7" s="35">
        <v>2</v>
      </c>
      <c r="E7" s="35">
        <v>2</v>
      </c>
      <c r="F7" s="35">
        <v>2</v>
      </c>
      <c r="G7" s="35">
        <v>2</v>
      </c>
      <c r="H7" s="35">
        <v>2</v>
      </c>
      <c r="I7" s="35">
        <v>2</v>
      </c>
      <c r="J7" s="35">
        <v>2</v>
      </c>
      <c r="K7" s="35">
        <v>2</v>
      </c>
      <c r="L7" s="35">
        <v>2</v>
      </c>
      <c r="M7" s="35">
        <v>2</v>
      </c>
      <c r="N7" s="35">
        <f t="shared" si="0"/>
        <v>20</v>
      </c>
      <c r="O7" s="35" t="str">
        <f t="shared" si="1"/>
        <v>Alta calidad</v>
      </c>
      <c r="P7" s="35" t="s">
        <v>301</v>
      </c>
    </row>
    <row r="8" spans="1:16" ht="33.65" customHeight="1" x14ac:dyDescent="0.35">
      <c r="A8" s="35" t="s">
        <v>198</v>
      </c>
      <c r="B8" s="35" t="s">
        <v>199</v>
      </c>
      <c r="C8" s="35" t="s">
        <v>200</v>
      </c>
      <c r="D8" s="35">
        <v>2</v>
      </c>
      <c r="E8" s="35">
        <v>2</v>
      </c>
      <c r="F8" s="35">
        <v>2</v>
      </c>
      <c r="G8" s="35">
        <v>2</v>
      </c>
      <c r="H8" s="35">
        <v>2</v>
      </c>
      <c r="I8" s="35">
        <v>2</v>
      </c>
      <c r="J8" s="35">
        <v>2</v>
      </c>
      <c r="K8" s="35">
        <v>2</v>
      </c>
      <c r="L8" s="35">
        <v>2</v>
      </c>
      <c r="M8" s="35">
        <v>2</v>
      </c>
      <c r="N8" s="35">
        <f t="shared" si="0"/>
        <v>20</v>
      </c>
      <c r="O8" s="35" t="str">
        <f t="shared" si="1"/>
        <v>Alta calidad</v>
      </c>
      <c r="P8" s="35" t="s">
        <v>304</v>
      </c>
    </row>
    <row r="9" spans="1:16" ht="33.65" customHeight="1" x14ac:dyDescent="0.35">
      <c r="A9" s="35" t="s">
        <v>205</v>
      </c>
      <c r="B9" s="35" t="s">
        <v>206</v>
      </c>
      <c r="C9" s="35" t="s">
        <v>207</v>
      </c>
      <c r="D9" s="35">
        <v>2</v>
      </c>
      <c r="E9" s="35">
        <v>2</v>
      </c>
      <c r="F9" s="35">
        <v>2</v>
      </c>
      <c r="G9" s="35">
        <v>2</v>
      </c>
      <c r="H9" s="35">
        <v>2</v>
      </c>
      <c r="I9" s="35">
        <v>2</v>
      </c>
      <c r="J9" s="35">
        <v>1</v>
      </c>
      <c r="K9" s="35">
        <v>2</v>
      </c>
      <c r="L9" s="35">
        <v>2</v>
      </c>
      <c r="M9" s="35">
        <v>2</v>
      </c>
      <c r="N9" s="35">
        <f t="shared" si="0"/>
        <v>19</v>
      </c>
      <c r="O9" s="35" t="str">
        <f t="shared" si="1"/>
        <v>Alta calidad</v>
      </c>
      <c r="P9" s="35" t="s">
        <v>307</v>
      </c>
    </row>
    <row r="10" spans="1:16" ht="33.65" customHeight="1" x14ac:dyDescent="0.35">
      <c r="A10" s="35" t="s">
        <v>212</v>
      </c>
      <c r="B10" s="35" t="s">
        <v>213</v>
      </c>
      <c r="C10" s="35" t="s">
        <v>214</v>
      </c>
      <c r="D10" s="35">
        <v>2</v>
      </c>
      <c r="E10" s="35">
        <v>2</v>
      </c>
      <c r="F10" s="35">
        <v>2</v>
      </c>
      <c r="G10" s="35">
        <v>2</v>
      </c>
      <c r="H10" s="35">
        <v>2</v>
      </c>
      <c r="I10" s="35">
        <v>2</v>
      </c>
      <c r="J10" s="35">
        <v>1</v>
      </c>
      <c r="K10" s="35">
        <v>2</v>
      </c>
      <c r="L10" s="35">
        <v>2</v>
      </c>
      <c r="M10" s="35">
        <v>2</v>
      </c>
      <c r="N10" s="35">
        <f t="shared" si="0"/>
        <v>19</v>
      </c>
      <c r="O10" s="35" t="str">
        <f t="shared" si="1"/>
        <v>Alta calidad</v>
      </c>
      <c r="P10" s="35" t="s">
        <v>309</v>
      </c>
    </row>
    <row r="11" spans="1:16" ht="33.65" customHeight="1" x14ac:dyDescent="0.35">
      <c r="A11" s="35" t="s">
        <v>220</v>
      </c>
      <c r="B11" s="35" t="s">
        <v>221</v>
      </c>
      <c r="C11" s="35" t="s">
        <v>222</v>
      </c>
      <c r="D11" s="35">
        <v>2</v>
      </c>
      <c r="E11" s="35">
        <v>2</v>
      </c>
      <c r="F11" s="35">
        <v>2</v>
      </c>
      <c r="G11" s="35">
        <v>2</v>
      </c>
      <c r="H11" s="35">
        <v>2</v>
      </c>
      <c r="I11" s="35">
        <v>2</v>
      </c>
      <c r="J11" s="35">
        <v>1</v>
      </c>
      <c r="K11" s="35">
        <v>2</v>
      </c>
      <c r="L11" s="35">
        <v>2</v>
      </c>
      <c r="M11" s="35">
        <v>2</v>
      </c>
      <c r="N11" s="35">
        <f t="shared" si="0"/>
        <v>19</v>
      </c>
      <c r="O11" s="35" t="str">
        <f t="shared" si="1"/>
        <v>Alta calidad</v>
      </c>
      <c r="P11" s="35" t="s">
        <v>133</v>
      </c>
    </row>
    <row r="12" spans="1:16" ht="33.65" customHeight="1" x14ac:dyDescent="0.35">
      <c r="A12" s="35" t="s">
        <v>228</v>
      </c>
      <c r="B12" s="35" t="s">
        <v>229</v>
      </c>
      <c r="C12" s="35" t="s">
        <v>230</v>
      </c>
      <c r="D12" s="35">
        <v>2</v>
      </c>
      <c r="E12" s="35">
        <v>2</v>
      </c>
      <c r="F12" s="35">
        <v>1</v>
      </c>
      <c r="G12" s="35">
        <v>2</v>
      </c>
      <c r="H12" s="35">
        <v>2</v>
      </c>
      <c r="I12" s="35">
        <v>2</v>
      </c>
      <c r="J12" s="35">
        <v>1</v>
      </c>
      <c r="K12" s="35">
        <v>2</v>
      </c>
      <c r="L12" s="35">
        <v>2</v>
      </c>
      <c r="M12" s="35">
        <v>2</v>
      </c>
      <c r="N12" s="35">
        <f t="shared" si="0"/>
        <v>18</v>
      </c>
      <c r="O12" s="35" t="str">
        <f t="shared" si="1"/>
        <v>Alta calidad</v>
      </c>
      <c r="P12" s="35" t="s">
        <v>312</v>
      </c>
    </row>
    <row r="13" spans="1:16" ht="33.65" customHeight="1" x14ac:dyDescent="0.35">
      <c r="A13" s="35" t="s">
        <v>236</v>
      </c>
      <c r="B13" s="35" t="s">
        <v>237</v>
      </c>
      <c r="C13" s="35" t="s">
        <v>238</v>
      </c>
      <c r="D13" s="35">
        <v>2</v>
      </c>
      <c r="E13" s="35">
        <v>2</v>
      </c>
      <c r="F13" s="35">
        <v>2</v>
      </c>
      <c r="G13" s="35">
        <v>2</v>
      </c>
      <c r="H13" s="35">
        <v>2</v>
      </c>
      <c r="I13" s="35">
        <v>1</v>
      </c>
      <c r="J13" s="35">
        <v>1</v>
      </c>
      <c r="K13" s="35">
        <v>2</v>
      </c>
      <c r="L13" s="35">
        <v>2</v>
      </c>
      <c r="M13" s="35">
        <v>2</v>
      </c>
      <c r="N13" s="35">
        <f t="shared" si="0"/>
        <v>18</v>
      </c>
      <c r="O13" s="35" t="str">
        <f t="shared" si="1"/>
        <v>Alta calidad</v>
      </c>
      <c r="P13" s="35" t="s">
        <v>314</v>
      </c>
    </row>
    <row r="14" spans="1:16" ht="33.65" customHeight="1" x14ac:dyDescent="0.35">
      <c r="A14" s="35" t="s">
        <v>245</v>
      </c>
      <c r="B14" s="35" t="s">
        <v>246</v>
      </c>
      <c r="C14" s="35" t="s">
        <v>247</v>
      </c>
      <c r="D14" s="35">
        <v>2</v>
      </c>
      <c r="E14" s="35">
        <v>1</v>
      </c>
      <c r="F14" s="35">
        <v>1</v>
      </c>
      <c r="G14" s="35">
        <v>2</v>
      </c>
      <c r="H14" s="35">
        <v>2</v>
      </c>
      <c r="I14" s="35">
        <v>2</v>
      </c>
      <c r="J14" s="35">
        <v>2</v>
      </c>
      <c r="K14" s="35">
        <v>2</v>
      </c>
      <c r="L14" s="35">
        <v>2</v>
      </c>
      <c r="M14" s="35">
        <v>2</v>
      </c>
      <c r="N14" s="35">
        <f t="shared" si="0"/>
        <v>18</v>
      </c>
      <c r="O14" s="35" t="str">
        <f t="shared" si="1"/>
        <v>Alta calidad</v>
      </c>
      <c r="P14" s="35" t="s">
        <v>317</v>
      </c>
    </row>
    <row r="15" spans="1:16" ht="33.65" customHeight="1" x14ac:dyDescent="0.35">
      <c r="A15" s="36" t="s">
        <v>253</v>
      </c>
      <c r="B15" s="36" t="s">
        <v>190</v>
      </c>
      <c r="C15" s="36" t="s">
        <v>254</v>
      </c>
      <c r="D15" s="36">
        <v>2</v>
      </c>
      <c r="E15" s="36">
        <v>1</v>
      </c>
      <c r="F15" s="36">
        <v>1</v>
      </c>
      <c r="G15" s="36">
        <v>1</v>
      </c>
      <c r="H15" s="36">
        <v>2</v>
      </c>
      <c r="I15" s="36">
        <v>2</v>
      </c>
      <c r="J15" s="36">
        <v>2</v>
      </c>
      <c r="K15" s="36">
        <v>1</v>
      </c>
      <c r="L15" s="36">
        <v>2</v>
      </c>
      <c r="M15" s="36">
        <v>2</v>
      </c>
      <c r="N15" s="36">
        <f t="shared" si="0"/>
        <v>16</v>
      </c>
      <c r="O15" s="36" t="str">
        <f t="shared" si="1"/>
        <v>Alta calidad</v>
      </c>
      <c r="P15" s="36" t="s">
        <v>321</v>
      </c>
    </row>
    <row r="16" spans="1:16" ht="33.65" customHeight="1" x14ac:dyDescent="0.35"/>
    <row r="17" ht="33.65" customHeight="1" x14ac:dyDescent="0.35"/>
    <row r="18" ht="33.65" customHeight="1" x14ac:dyDescent="0.35"/>
    <row r="19" ht="33.65" customHeight="1" x14ac:dyDescent="0.35"/>
    <row r="20" ht="33.65" customHeight="1" x14ac:dyDescent="0.35"/>
    <row r="21" ht="33.65" customHeight="1" x14ac:dyDescent="0.35"/>
    <row r="22" ht="33.65" customHeight="1" x14ac:dyDescent="0.35"/>
    <row r="23" ht="33.65" customHeight="1" x14ac:dyDescent="0.35"/>
    <row r="24" ht="33.65" customHeight="1" x14ac:dyDescent="0.35"/>
    <row r="25" ht="33.65" customHeight="1" x14ac:dyDescent="0.35"/>
    <row r="26" ht="33.65" customHeight="1" x14ac:dyDescent="0.35"/>
    <row r="27" ht="33.65" customHeight="1" x14ac:dyDescent="0.35"/>
    <row r="28" ht="33.65" customHeight="1" x14ac:dyDescent="0.35"/>
    <row r="29" ht="33.65" customHeight="1" x14ac:dyDescent="0.35"/>
    <row r="30" ht="33.65" customHeight="1" x14ac:dyDescent="0.35"/>
    <row r="31" ht="33.65" customHeight="1" x14ac:dyDescent="0.35"/>
    <row r="32" ht="33.65" customHeight="1" x14ac:dyDescent="0.35"/>
    <row r="33" ht="33.65" customHeight="1" x14ac:dyDescent="0.35"/>
    <row r="34" ht="33.65" customHeight="1" x14ac:dyDescent="0.35"/>
    <row r="35" ht="33.65" customHeight="1" x14ac:dyDescent="0.35"/>
    <row r="36" ht="33.65" customHeight="1" x14ac:dyDescent="0.35"/>
    <row r="37" ht="33.65" customHeight="1" x14ac:dyDescent="0.35"/>
    <row r="38" ht="33.65" customHeight="1" x14ac:dyDescent="0.35"/>
    <row r="39" ht="33.65" customHeight="1" x14ac:dyDescent="0.35"/>
    <row r="40" ht="33.65" customHeight="1" x14ac:dyDescent="0.35"/>
    <row r="41" ht="33.65" customHeight="1" x14ac:dyDescent="0.35"/>
    <row r="42" ht="33.65" customHeight="1" x14ac:dyDescent="0.35"/>
    <row r="43" ht="33.65" customHeight="1" x14ac:dyDescent="0.35"/>
    <row r="44" ht="33.65" customHeight="1" x14ac:dyDescent="0.35"/>
    <row r="45" ht="33.65" customHeight="1" x14ac:dyDescent="0.35"/>
    <row r="46" ht="33.65" customHeight="1" x14ac:dyDescent="0.35"/>
    <row r="47" ht="33.65" customHeight="1" x14ac:dyDescent="0.35"/>
    <row r="48" ht="33.65" customHeight="1" x14ac:dyDescent="0.35"/>
    <row r="49" ht="33.65" customHeight="1" x14ac:dyDescent="0.35"/>
    <row r="50" ht="33.65" customHeight="1" x14ac:dyDescent="0.35"/>
    <row r="51" ht="33.65" customHeight="1" x14ac:dyDescent="0.35"/>
    <row r="52" ht="33.65" customHeight="1" x14ac:dyDescent="0.35"/>
    <row r="53" ht="33.65" customHeight="1" x14ac:dyDescent="0.35"/>
    <row r="54" ht="33.65" customHeight="1" x14ac:dyDescent="0.35"/>
    <row r="55" ht="33.65" customHeight="1" x14ac:dyDescent="0.35"/>
    <row r="56" ht="33.65" customHeight="1" x14ac:dyDescent="0.35"/>
    <row r="57" ht="33.65" customHeight="1" x14ac:dyDescent="0.35"/>
    <row r="58" ht="33.65" customHeight="1" x14ac:dyDescent="0.35"/>
    <row r="59" ht="33.65" customHeight="1" x14ac:dyDescent="0.35"/>
    <row r="60" ht="33.65" customHeight="1" x14ac:dyDescent="0.35"/>
    <row r="61" ht="33.65" customHeight="1" x14ac:dyDescent="0.35"/>
    <row r="62" ht="33.65" customHeight="1" x14ac:dyDescent="0.35"/>
    <row r="63" ht="33.65" customHeight="1" x14ac:dyDescent="0.35"/>
    <row r="64" ht="33.65" customHeight="1" x14ac:dyDescent="0.35"/>
    <row r="65" ht="33.65" customHeight="1" x14ac:dyDescent="0.35"/>
    <row r="66" ht="33.65" customHeight="1" x14ac:dyDescent="0.35"/>
    <row r="67" ht="33.65" customHeight="1" x14ac:dyDescent="0.35"/>
    <row r="68" ht="33.65" customHeight="1" x14ac:dyDescent="0.35"/>
    <row r="69" ht="33.65" customHeight="1" x14ac:dyDescent="0.35"/>
    <row r="70" ht="33.65" customHeight="1" x14ac:dyDescent="0.35"/>
    <row r="71" ht="33.65" customHeight="1" x14ac:dyDescent="0.35"/>
    <row r="72" ht="33.65" customHeight="1" x14ac:dyDescent="0.35"/>
    <row r="73" ht="33.65" customHeight="1" x14ac:dyDescent="0.35"/>
    <row r="74" ht="33.65" customHeight="1" x14ac:dyDescent="0.35"/>
    <row r="75" ht="33.65" customHeight="1" x14ac:dyDescent="0.35"/>
    <row r="76" ht="33.65" customHeight="1" x14ac:dyDescent="0.35"/>
    <row r="77" ht="33.65" customHeight="1" x14ac:dyDescent="0.35"/>
    <row r="78" ht="33.65" customHeight="1" x14ac:dyDescent="0.35"/>
    <row r="79" ht="33.65" customHeight="1" x14ac:dyDescent="0.35"/>
    <row r="80" ht="33.65" customHeight="1" x14ac:dyDescent="0.35"/>
    <row r="81" ht="33.65" customHeight="1" x14ac:dyDescent="0.35"/>
    <row r="82" ht="33.65" customHeight="1" x14ac:dyDescent="0.35"/>
    <row r="83" ht="33.65" customHeight="1" x14ac:dyDescent="0.35"/>
    <row r="84" ht="33.65" customHeight="1" x14ac:dyDescent="0.35"/>
    <row r="85" ht="33.65" customHeight="1" x14ac:dyDescent="0.35"/>
    <row r="86" ht="33.65" customHeight="1" x14ac:dyDescent="0.35"/>
    <row r="87" ht="33.65" customHeight="1" x14ac:dyDescent="0.35"/>
    <row r="88" ht="33.65" customHeight="1" x14ac:dyDescent="0.35"/>
    <row r="89" ht="33.65" customHeight="1" x14ac:dyDescent="0.35"/>
    <row r="90" ht="33.65" customHeight="1" x14ac:dyDescent="0.35"/>
    <row r="91" ht="33.65" customHeight="1" x14ac:dyDescent="0.35"/>
    <row r="92" ht="33.65" customHeight="1" x14ac:dyDescent="0.35"/>
    <row r="93" ht="33.65" customHeight="1" x14ac:dyDescent="0.35"/>
    <row r="94" ht="33.65" customHeight="1" x14ac:dyDescent="0.35"/>
    <row r="95" ht="33.65" customHeight="1" x14ac:dyDescent="0.35"/>
    <row r="96" ht="33.65" customHeight="1" x14ac:dyDescent="0.35"/>
    <row r="97" ht="33.65" customHeight="1" x14ac:dyDescent="0.35"/>
    <row r="98" ht="33.65" customHeight="1" x14ac:dyDescent="0.35"/>
    <row r="99" ht="33.65" customHeight="1" x14ac:dyDescent="0.35"/>
    <row r="100" ht="33.65" customHeight="1" x14ac:dyDescent="0.35"/>
    <row r="101" ht="33.65" customHeight="1" x14ac:dyDescent="0.35"/>
    <row r="102" ht="33.65" customHeight="1" x14ac:dyDescent="0.35"/>
    <row r="103" ht="33.65" customHeight="1" x14ac:dyDescent="0.35"/>
    <row r="104" ht="33.65" customHeight="1" x14ac:dyDescent="0.35"/>
    <row r="105" ht="33.65" customHeight="1" x14ac:dyDescent="0.35"/>
    <row r="106" ht="33.65" customHeight="1" x14ac:dyDescent="0.35"/>
    <row r="107" ht="33.65" customHeight="1" x14ac:dyDescent="0.35"/>
    <row r="108" ht="33.65" customHeight="1" x14ac:dyDescent="0.35"/>
    <row r="109" ht="33.65" customHeight="1" x14ac:dyDescent="0.35"/>
    <row r="110" ht="33.65" customHeight="1" x14ac:dyDescent="0.35"/>
    <row r="111" ht="33.65" customHeight="1" x14ac:dyDescent="0.35"/>
    <row r="112" ht="33.65" customHeight="1" x14ac:dyDescent="0.35"/>
    <row r="113" ht="33.65" customHeight="1" x14ac:dyDescent="0.35"/>
    <row r="114" ht="33.65" customHeight="1" x14ac:dyDescent="0.35"/>
    <row r="115" ht="33.65" customHeight="1" x14ac:dyDescent="0.35"/>
    <row r="116" ht="33.65" customHeight="1" x14ac:dyDescent="0.35"/>
    <row r="117" ht="33.65" customHeight="1" x14ac:dyDescent="0.35"/>
    <row r="118" ht="33.65" customHeight="1" x14ac:dyDescent="0.35"/>
    <row r="119" ht="33.65" customHeight="1" x14ac:dyDescent="0.35"/>
    <row r="120" ht="33.65" customHeight="1" x14ac:dyDescent="0.35"/>
    <row r="121" ht="33.65" customHeight="1" x14ac:dyDescent="0.35"/>
    <row r="122" ht="33.65" customHeight="1" x14ac:dyDescent="0.35"/>
    <row r="123" ht="33.65" customHeight="1" x14ac:dyDescent="0.35"/>
    <row r="124" ht="33.65" customHeight="1" x14ac:dyDescent="0.35"/>
    <row r="125" ht="33.65" customHeight="1" x14ac:dyDescent="0.35"/>
    <row r="126" ht="33.65" customHeight="1" x14ac:dyDescent="0.35"/>
    <row r="127" ht="33.65" customHeight="1" x14ac:dyDescent="0.35"/>
    <row r="128" ht="33.65" customHeight="1" x14ac:dyDescent="0.35"/>
    <row r="129" ht="33.65" customHeight="1" x14ac:dyDescent="0.35"/>
    <row r="130" ht="33.65" customHeight="1" x14ac:dyDescent="0.35"/>
    <row r="131" ht="33.65" customHeight="1" x14ac:dyDescent="0.35"/>
    <row r="132" ht="33.65" customHeight="1" x14ac:dyDescent="0.35"/>
    <row r="133" ht="33.65" customHeight="1" x14ac:dyDescent="0.35"/>
    <row r="134" ht="33.65" customHeight="1" x14ac:dyDescent="0.35"/>
    <row r="135" ht="33.65" customHeight="1" x14ac:dyDescent="0.35"/>
    <row r="136" ht="33.65" customHeight="1" x14ac:dyDescent="0.35"/>
    <row r="137" ht="33.65" customHeight="1" x14ac:dyDescent="0.35"/>
    <row r="138" ht="33.65" customHeight="1" x14ac:dyDescent="0.35"/>
    <row r="139" ht="33.65" customHeight="1" x14ac:dyDescent="0.35"/>
    <row r="140" ht="33.65" customHeight="1" x14ac:dyDescent="0.35"/>
    <row r="141" ht="33.65" customHeight="1" x14ac:dyDescent="0.35"/>
    <row r="142" ht="33.65" customHeight="1" x14ac:dyDescent="0.35"/>
    <row r="143" ht="33.65" customHeight="1" x14ac:dyDescent="0.35"/>
    <row r="144" ht="33.65" customHeight="1" x14ac:dyDescent="0.35"/>
    <row r="145" ht="33.65" customHeight="1" x14ac:dyDescent="0.35"/>
    <row r="146" ht="33.65" customHeight="1" x14ac:dyDescent="0.35"/>
    <row r="147" ht="33.65" customHeight="1" x14ac:dyDescent="0.35"/>
    <row r="148" ht="33.65" customHeight="1" x14ac:dyDescent="0.35"/>
    <row r="149" ht="33.65" customHeight="1" x14ac:dyDescent="0.35"/>
    <row r="150" ht="33.65" customHeight="1" x14ac:dyDescent="0.35"/>
    <row r="151" ht="33.65" customHeight="1" x14ac:dyDescent="0.35"/>
    <row r="152" ht="33.65" customHeight="1" x14ac:dyDescent="0.35"/>
    <row r="153" ht="33.65" customHeight="1" x14ac:dyDescent="0.35"/>
    <row r="154" ht="33.65" customHeight="1" x14ac:dyDescent="0.35"/>
    <row r="155" ht="33.65" customHeight="1" x14ac:dyDescent="0.35"/>
    <row r="156" ht="33.65" customHeight="1" x14ac:dyDescent="0.35"/>
    <row r="157" ht="33.65" customHeight="1" x14ac:dyDescent="0.35"/>
    <row r="158" ht="33.65" customHeight="1" x14ac:dyDescent="0.35"/>
    <row r="159" ht="33.65" customHeight="1" x14ac:dyDescent="0.35"/>
    <row r="160" ht="33.65" customHeight="1" x14ac:dyDescent="0.35"/>
    <row r="161" ht="33.65" customHeight="1" x14ac:dyDescent="0.35"/>
    <row r="162" ht="33.65" customHeight="1" x14ac:dyDescent="0.35"/>
    <row r="163" ht="33.65" customHeight="1" x14ac:dyDescent="0.35"/>
    <row r="164" ht="33.65" customHeight="1" x14ac:dyDescent="0.35"/>
    <row r="165" ht="33.65" customHeight="1" x14ac:dyDescent="0.35"/>
    <row r="166" ht="33.65" customHeight="1" x14ac:dyDescent="0.35"/>
    <row r="167" ht="33.65" customHeight="1" x14ac:dyDescent="0.35"/>
    <row r="168" ht="33.65" customHeight="1" x14ac:dyDescent="0.35"/>
    <row r="169" ht="33.65" customHeight="1" x14ac:dyDescent="0.35"/>
    <row r="170" ht="33.65" customHeight="1" x14ac:dyDescent="0.35"/>
    <row r="171" ht="33.65" customHeight="1" x14ac:dyDescent="0.35"/>
    <row r="172" ht="33.65" customHeight="1" x14ac:dyDescent="0.35"/>
    <row r="173" ht="33.65" customHeight="1" x14ac:dyDescent="0.35"/>
    <row r="174" ht="33.65" customHeight="1" x14ac:dyDescent="0.35"/>
    <row r="175" ht="33.65" customHeight="1" x14ac:dyDescent="0.35"/>
    <row r="176" ht="33.65" customHeight="1" x14ac:dyDescent="0.35"/>
    <row r="177" ht="33.65" customHeight="1" x14ac:dyDescent="0.35"/>
    <row r="178" ht="33.65" customHeight="1" x14ac:dyDescent="0.35"/>
    <row r="179" ht="33.65" customHeight="1" x14ac:dyDescent="0.35"/>
    <row r="180" ht="33.65" customHeight="1" x14ac:dyDescent="0.35"/>
    <row r="181" ht="33.65" customHeight="1" x14ac:dyDescent="0.35"/>
    <row r="182" ht="33.65" customHeight="1" x14ac:dyDescent="0.35"/>
    <row r="183" ht="33.65" customHeight="1" x14ac:dyDescent="0.35"/>
    <row r="184" ht="33.65" customHeight="1" x14ac:dyDescent="0.35"/>
    <row r="185" ht="33.65" customHeight="1" x14ac:dyDescent="0.35"/>
    <row r="186" ht="33.65" customHeight="1" x14ac:dyDescent="0.35"/>
    <row r="187" ht="33.65" customHeight="1" x14ac:dyDescent="0.35"/>
    <row r="188" ht="33.65" customHeight="1" x14ac:dyDescent="0.35"/>
    <row r="189" ht="33.65" customHeight="1" x14ac:dyDescent="0.35"/>
    <row r="190" ht="33.65" customHeight="1" x14ac:dyDescent="0.35"/>
    <row r="191" ht="33.65" customHeight="1" x14ac:dyDescent="0.35"/>
    <row r="192" ht="33.65" customHeight="1" x14ac:dyDescent="0.35"/>
    <row r="193" ht="33.65" customHeight="1" x14ac:dyDescent="0.35"/>
    <row r="194" ht="33.65" customHeight="1" x14ac:dyDescent="0.35"/>
    <row r="195" ht="33.65" customHeight="1" x14ac:dyDescent="0.35"/>
    <row r="196" ht="33.65" customHeight="1" x14ac:dyDescent="0.35"/>
    <row r="197" ht="33.65" customHeight="1" x14ac:dyDescent="0.35"/>
    <row r="198" ht="33.65" customHeight="1" x14ac:dyDescent="0.35"/>
    <row r="199" ht="33.65" customHeight="1" x14ac:dyDescent="0.35"/>
    <row r="200" ht="33.65" customHeight="1" x14ac:dyDescent="0.35"/>
    <row r="201" ht="33.65" customHeight="1" x14ac:dyDescent="0.35"/>
  </sheetData>
  <mergeCells count="2">
    <mergeCell ref="A1:P1"/>
    <mergeCell ref="A2:P2"/>
  </mergeCells>
  <conditionalFormatting sqref="N4:N201">
    <cfRule type="cellIs" dxfId="43" priority="1" operator="greaterThanOrEqual">
      <formula>16</formula>
    </cfRule>
    <cfRule type="cellIs" dxfId="42" priority="2" operator="between">
      <formula>10</formula>
      <formula>15</formula>
    </cfRule>
    <cfRule type="cellIs" dxfId="41" priority="3" operator="lessThan">
      <formula>10</formula>
    </cfRule>
  </conditionalFormatting>
  <dataValidations count="1">
    <dataValidation type="list" allowBlank="1" sqref="D4:M303" xr:uid="{00000000-0002-0000-0500-000000000000}">
      <formula1>"0,1,2"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2"/>
  <sheetViews>
    <sheetView workbookViewId="0">
      <selection activeCell="C6" sqref="C6"/>
    </sheetView>
  </sheetViews>
  <sheetFormatPr defaultColWidth="8.90625" defaultRowHeight="14.5" x14ac:dyDescent="0.35"/>
  <cols>
    <col min="1" max="1" width="12" customWidth="1"/>
    <col min="2" max="2" width="16" customWidth="1"/>
    <col min="3" max="3" width="55" customWidth="1"/>
    <col min="4" max="4" width="12" customWidth="1"/>
    <col min="5" max="5" width="24" customWidth="1"/>
    <col min="6" max="6" width="13" customWidth="1"/>
    <col min="7" max="7" width="15.7265625" customWidth="1"/>
    <col min="8" max="8" width="55" customWidth="1"/>
    <col min="9" max="9" width="22.36328125" customWidth="1"/>
    <col min="10" max="10" width="15.36328125" customWidth="1"/>
    <col min="11" max="11" width="19.7265625" customWidth="1"/>
    <col min="12" max="12" width="23" customWidth="1"/>
    <col min="13" max="14" width="55" customWidth="1"/>
    <col min="15" max="15" width="35" customWidth="1"/>
    <col min="16" max="16" width="16" customWidth="1"/>
    <col min="17" max="17" width="34" customWidth="1"/>
    <col min="18" max="18" width="55" customWidth="1"/>
  </cols>
  <sheetData>
    <row r="1" spans="1:18" ht="17.5" customHeight="1" x14ac:dyDescent="0.35">
      <c r="A1" s="29" t="s">
        <v>327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28.75" customHeight="1" x14ac:dyDescent="0.35">
      <c r="A2" s="33" t="s">
        <v>328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35">
      <c r="A3" s="43" t="s">
        <v>151</v>
      </c>
      <c r="B3" s="43" t="s">
        <v>5</v>
      </c>
      <c r="C3" s="43" t="s">
        <v>152</v>
      </c>
      <c r="D3" s="43" t="s">
        <v>154</v>
      </c>
      <c r="E3" s="43" t="s">
        <v>153</v>
      </c>
      <c r="F3" s="43" t="s">
        <v>155</v>
      </c>
      <c r="G3" s="43" t="s">
        <v>329</v>
      </c>
      <c r="H3" s="43" t="s">
        <v>330</v>
      </c>
      <c r="I3" s="43" t="s">
        <v>331</v>
      </c>
      <c r="J3" s="43" t="s">
        <v>332</v>
      </c>
      <c r="K3" s="43" t="s">
        <v>333</v>
      </c>
      <c r="L3" s="43" t="s">
        <v>334</v>
      </c>
      <c r="M3" s="43" t="s">
        <v>335</v>
      </c>
      <c r="N3" s="43" t="s">
        <v>336</v>
      </c>
      <c r="O3" s="43" t="s">
        <v>281</v>
      </c>
      <c r="P3" s="43" t="s">
        <v>325</v>
      </c>
      <c r="Q3" s="43" t="s">
        <v>337</v>
      </c>
      <c r="R3" s="43" t="s">
        <v>338</v>
      </c>
    </row>
    <row r="4" spans="1:18" ht="33.65" customHeight="1" x14ac:dyDescent="0.35">
      <c r="A4" s="44" t="s">
        <v>162</v>
      </c>
      <c r="B4" s="44" t="s">
        <v>15</v>
      </c>
      <c r="C4" s="44" t="s">
        <v>163</v>
      </c>
      <c r="D4" s="44">
        <v>2024</v>
      </c>
      <c r="E4" s="44" t="s">
        <v>164</v>
      </c>
      <c r="F4" s="44" t="s">
        <v>165</v>
      </c>
      <c r="G4" s="44" t="s">
        <v>168</v>
      </c>
      <c r="H4" s="44" t="s">
        <v>339</v>
      </c>
      <c r="I4" s="44" t="s">
        <v>340</v>
      </c>
      <c r="J4" s="44" t="s">
        <v>284</v>
      </c>
      <c r="K4" s="44" t="s">
        <v>341</v>
      </c>
      <c r="L4" s="44" t="s">
        <v>286</v>
      </c>
      <c r="M4" s="44" t="s">
        <v>342</v>
      </c>
      <c r="N4" s="44" t="s">
        <v>288</v>
      </c>
      <c r="O4" s="44" t="s">
        <v>289</v>
      </c>
      <c r="P4" s="44" t="s">
        <v>343</v>
      </c>
      <c r="Q4" s="44" t="s">
        <v>7</v>
      </c>
      <c r="R4" s="44" t="s">
        <v>344</v>
      </c>
    </row>
    <row r="5" spans="1:18" ht="33.65" customHeight="1" x14ac:dyDescent="0.35">
      <c r="A5" s="44" t="s">
        <v>172</v>
      </c>
      <c r="B5" s="44" t="s">
        <v>15</v>
      </c>
      <c r="C5" s="44" t="s">
        <v>173</v>
      </c>
      <c r="D5" s="44">
        <v>2024</v>
      </c>
      <c r="E5" s="44" t="s">
        <v>174</v>
      </c>
      <c r="F5" s="44" t="s">
        <v>175</v>
      </c>
      <c r="G5" s="44" t="s">
        <v>178</v>
      </c>
      <c r="H5" s="44" t="s">
        <v>345</v>
      </c>
      <c r="I5" s="44" t="s">
        <v>340</v>
      </c>
      <c r="J5" s="44" t="s">
        <v>292</v>
      </c>
      <c r="K5" s="44" t="s">
        <v>341</v>
      </c>
      <c r="L5" s="44" t="s">
        <v>286</v>
      </c>
      <c r="M5" s="44" t="s">
        <v>342</v>
      </c>
      <c r="N5" s="44" t="s">
        <v>293</v>
      </c>
      <c r="O5" s="44" t="s">
        <v>294</v>
      </c>
      <c r="P5" s="44" t="s">
        <v>343</v>
      </c>
      <c r="Q5" s="44" t="s">
        <v>8</v>
      </c>
      <c r="R5" s="44" t="s">
        <v>346</v>
      </c>
    </row>
    <row r="6" spans="1:18" ht="33.65" customHeight="1" x14ac:dyDescent="0.35">
      <c r="A6" s="44" t="s">
        <v>181</v>
      </c>
      <c r="B6" s="44" t="s">
        <v>15</v>
      </c>
      <c r="C6" s="44" t="s">
        <v>182</v>
      </c>
      <c r="D6" s="44">
        <v>2021</v>
      </c>
      <c r="E6" s="44" t="s">
        <v>183</v>
      </c>
      <c r="F6" s="44" t="s">
        <v>184</v>
      </c>
      <c r="G6" s="44" t="s">
        <v>168</v>
      </c>
      <c r="H6" s="44" t="s">
        <v>347</v>
      </c>
      <c r="I6" s="44" t="s">
        <v>340</v>
      </c>
      <c r="J6" s="44" t="s">
        <v>296</v>
      </c>
      <c r="K6" s="44" t="s">
        <v>341</v>
      </c>
      <c r="L6" s="44" t="s">
        <v>286</v>
      </c>
      <c r="M6" s="44" t="s">
        <v>342</v>
      </c>
      <c r="N6" s="44" t="s">
        <v>297</v>
      </c>
      <c r="O6" s="44" t="s">
        <v>294</v>
      </c>
      <c r="P6" s="44" t="s">
        <v>343</v>
      </c>
      <c r="Q6" s="44" t="s">
        <v>8</v>
      </c>
      <c r="R6" s="44" t="s">
        <v>346</v>
      </c>
    </row>
    <row r="7" spans="1:18" ht="33.65" customHeight="1" x14ac:dyDescent="0.35">
      <c r="A7" s="44" t="s">
        <v>189</v>
      </c>
      <c r="B7" s="44" t="s">
        <v>190</v>
      </c>
      <c r="C7" s="44" t="s">
        <v>191</v>
      </c>
      <c r="D7" s="44">
        <v>2026</v>
      </c>
      <c r="E7" s="44" t="s">
        <v>192</v>
      </c>
      <c r="F7" s="44" t="s">
        <v>193</v>
      </c>
      <c r="G7" s="44" t="s">
        <v>196</v>
      </c>
      <c r="H7" s="44" t="s">
        <v>348</v>
      </c>
      <c r="I7" s="44" t="s">
        <v>340</v>
      </c>
      <c r="J7" s="44" t="s">
        <v>299</v>
      </c>
      <c r="K7" s="44" t="s">
        <v>341</v>
      </c>
      <c r="L7" s="44" t="s">
        <v>286</v>
      </c>
      <c r="M7" s="44" t="s">
        <v>342</v>
      </c>
      <c r="N7" s="44" t="s">
        <v>300</v>
      </c>
      <c r="O7" s="44" t="s">
        <v>289</v>
      </c>
      <c r="P7" s="44" t="s">
        <v>343</v>
      </c>
      <c r="Q7" s="44" t="s">
        <v>7</v>
      </c>
      <c r="R7" s="44" t="s">
        <v>344</v>
      </c>
    </row>
    <row r="8" spans="1:18" ht="33.65" customHeight="1" x14ac:dyDescent="0.35">
      <c r="A8" s="44" t="s">
        <v>198</v>
      </c>
      <c r="B8" s="44" t="s">
        <v>199</v>
      </c>
      <c r="C8" s="44" t="s">
        <v>200</v>
      </c>
      <c r="D8" s="44">
        <v>2026</v>
      </c>
      <c r="E8" s="44" t="s">
        <v>201</v>
      </c>
      <c r="F8" s="44"/>
      <c r="G8" s="44" t="s">
        <v>196</v>
      </c>
      <c r="H8" s="44" t="s">
        <v>349</v>
      </c>
      <c r="I8" s="44" t="s">
        <v>340</v>
      </c>
      <c r="J8" s="44" t="s">
        <v>302</v>
      </c>
      <c r="K8" s="44" t="s">
        <v>341</v>
      </c>
      <c r="L8" s="44" t="s">
        <v>267</v>
      </c>
      <c r="M8" s="44" t="s">
        <v>342</v>
      </c>
      <c r="N8" s="44" t="s">
        <v>303</v>
      </c>
      <c r="O8" s="44" t="s">
        <v>289</v>
      </c>
      <c r="P8" s="44" t="s">
        <v>343</v>
      </c>
      <c r="Q8" s="44" t="s">
        <v>7</v>
      </c>
      <c r="R8" s="44" t="s">
        <v>344</v>
      </c>
    </row>
    <row r="9" spans="1:18" ht="33.65" customHeight="1" x14ac:dyDescent="0.35">
      <c r="A9" s="44" t="s">
        <v>205</v>
      </c>
      <c r="B9" s="44" t="s">
        <v>206</v>
      </c>
      <c r="C9" s="44" t="s">
        <v>207</v>
      </c>
      <c r="D9" s="44">
        <v>2026</v>
      </c>
      <c r="E9" s="44" t="s">
        <v>208</v>
      </c>
      <c r="F9" s="44"/>
      <c r="G9" s="44" t="s">
        <v>196</v>
      </c>
      <c r="H9" s="44" t="s">
        <v>350</v>
      </c>
      <c r="I9" s="44" t="s">
        <v>340</v>
      </c>
      <c r="J9" s="44" t="s">
        <v>267</v>
      </c>
      <c r="K9" s="44" t="s">
        <v>341</v>
      </c>
      <c r="L9" s="44" t="s">
        <v>267</v>
      </c>
      <c r="M9" s="44" t="s">
        <v>351</v>
      </c>
      <c r="N9" s="44" t="s">
        <v>306</v>
      </c>
      <c r="O9" s="44" t="s">
        <v>289</v>
      </c>
      <c r="P9" s="44" t="s">
        <v>343</v>
      </c>
      <c r="Q9" s="44" t="s">
        <v>7</v>
      </c>
      <c r="R9" s="44" t="s">
        <v>344</v>
      </c>
    </row>
    <row r="10" spans="1:18" ht="33.65" customHeight="1" x14ac:dyDescent="0.35">
      <c r="A10" s="44" t="s">
        <v>212</v>
      </c>
      <c r="B10" s="44" t="s">
        <v>213</v>
      </c>
      <c r="C10" s="44" t="s">
        <v>214</v>
      </c>
      <c r="D10" s="44">
        <v>2020</v>
      </c>
      <c r="E10" s="44" t="s">
        <v>215</v>
      </c>
      <c r="F10" s="44" t="s">
        <v>216</v>
      </c>
      <c r="G10" s="44" t="s">
        <v>196</v>
      </c>
      <c r="H10" s="44" t="s">
        <v>352</v>
      </c>
      <c r="I10" s="44" t="s">
        <v>340</v>
      </c>
      <c r="J10" s="44" t="s">
        <v>267</v>
      </c>
      <c r="K10" s="44" t="s">
        <v>341</v>
      </c>
      <c r="L10" s="44" t="s">
        <v>267</v>
      </c>
      <c r="M10" s="44" t="s">
        <v>351</v>
      </c>
      <c r="N10" s="44" t="s">
        <v>308</v>
      </c>
      <c r="O10" s="44" t="s">
        <v>289</v>
      </c>
      <c r="P10" s="44" t="s">
        <v>343</v>
      </c>
      <c r="Q10" s="44" t="s">
        <v>7</v>
      </c>
      <c r="R10" s="44" t="s">
        <v>344</v>
      </c>
    </row>
    <row r="11" spans="1:18" ht="33.65" customHeight="1" x14ac:dyDescent="0.35">
      <c r="A11" s="44" t="s">
        <v>220</v>
      </c>
      <c r="B11" s="44" t="s">
        <v>221</v>
      </c>
      <c r="C11" s="44" t="s">
        <v>222</v>
      </c>
      <c r="D11" s="44">
        <v>2026</v>
      </c>
      <c r="E11" s="44" t="s">
        <v>223</v>
      </c>
      <c r="F11" s="44" t="s">
        <v>224</v>
      </c>
      <c r="G11" s="44" t="s">
        <v>196</v>
      </c>
      <c r="H11" s="44" t="s">
        <v>353</v>
      </c>
      <c r="I11" s="44" t="s">
        <v>340</v>
      </c>
      <c r="J11" s="44" t="s">
        <v>267</v>
      </c>
      <c r="K11" s="44" t="s">
        <v>341</v>
      </c>
      <c r="L11" s="44" t="s">
        <v>267</v>
      </c>
      <c r="M11" s="44" t="s">
        <v>351</v>
      </c>
      <c r="N11" s="44" t="s">
        <v>310</v>
      </c>
      <c r="O11" s="44" t="s">
        <v>294</v>
      </c>
      <c r="P11" s="44" t="s">
        <v>343</v>
      </c>
      <c r="Q11" s="44" t="s">
        <v>8</v>
      </c>
      <c r="R11" s="44" t="s">
        <v>346</v>
      </c>
    </row>
    <row r="12" spans="1:18" ht="33.65" customHeight="1" x14ac:dyDescent="0.35">
      <c r="A12" s="44" t="s">
        <v>228</v>
      </c>
      <c r="B12" s="44" t="s">
        <v>229</v>
      </c>
      <c r="C12" s="44" t="s">
        <v>230</v>
      </c>
      <c r="D12" s="44">
        <v>2021</v>
      </c>
      <c r="E12" s="44" t="s">
        <v>231</v>
      </c>
      <c r="F12" s="44" t="s">
        <v>232</v>
      </c>
      <c r="G12" s="44" t="s">
        <v>196</v>
      </c>
      <c r="H12" s="44" t="s">
        <v>354</v>
      </c>
      <c r="I12" s="44" t="s">
        <v>340</v>
      </c>
      <c r="J12" s="44" t="s">
        <v>267</v>
      </c>
      <c r="K12" s="44" t="s">
        <v>341</v>
      </c>
      <c r="L12" s="44" t="s">
        <v>267</v>
      </c>
      <c r="M12" s="44" t="s">
        <v>351</v>
      </c>
      <c r="N12" s="44" t="s">
        <v>311</v>
      </c>
      <c r="O12" s="44" t="s">
        <v>294</v>
      </c>
      <c r="P12" s="44" t="s">
        <v>343</v>
      </c>
      <c r="Q12" s="44" t="s">
        <v>8</v>
      </c>
      <c r="R12" s="44" t="s">
        <v>346</v>
      </c>
    </row>
    <row r="13" spans="1:18" ht="33.65" customHeight="1" x14ac:dyDescent="0.35">
      <c r="A13" s="44" t="s">
        <v>236</v>
      </c>
      <c r="B13" s="44" t="s">
        <v>237</v>
      </c>
      <c r="C13" s="44" t="s">
        <v>238</v>
      </c>
      <c r="D13" s="44">
        <v>2024</v>
      </c>
      <c r="E13" s="44" t="s">
        <v>239</v>
      </c>
      <c r="F13" s="44" t="s">
        <v>240</v>
      </c>
      <c r="G13" s="44" t="s">
        <v>243</v>
      </c>
      <c r="H13" s="44" t="s">
        <v>355</v>
      </c>
      <c r="I13" s="44" t="s">
        <v>340</v>
      </c>
      <c r="J13" s="44" t="s">
        <v>267</v>
      </c>
      <c r="K13" s="44" t="s">
        <v>341</v>
      </c>
      <c r="L13" s="44" t="s">
        <v>267</v>
      </c>
      <c r="M13" s="44" t="s">
        <v>351</v>
      </c>
      <c r="N13" s="44" t="s">
        <v>313</v>
      </c>
      <c r="O13" s="44" t="s">
        <v>294</v>
      </c>
      <c r="P13" s="44" t="s">
        <v>343</v>
      </c>
      <c r="Q13" s="44" t="s">
        <v>8</v>
      </c>
      <c r="R13" s="44" t="s">
        <v>346</v>
      </c>
    </row>
    <row r="14" spans="1:18" ht="33.65" customHeight="1" x14ac:dyDescent="0.35">
      <c r="A14" s="44" t="s">
        <v>245</v>
      </c>
      <c r="B14" s="44" t="s">
        <v>246</v>
      </c>
      <c r="C14" s="44" t="s">
        <v>247</v>
      </c>
      <c r="D14" s="44">
        <v>2026</v>
      </c>
      <c r="E14" s="44" t="s">
        <v>248</v>
      </c>
      <c r="F14" s="44"/>
      <c r="G14" s="44" t="s">
        <v>196</v>
      </c>
      <c r="H14" s="44" t="s">
        <v>356</v>
      </c>
      <c r="I14" s="44" t="s">
        <v>340</v>
      </c>
      <c r="J14" s="44" t="s">
        <v>315</v>
      </c>
      <c r="K14" s="44" t="s">
        <v>341</v>
      </c>
      <c r="L14" s="44" t="s">
        <v>267</v>
      </c>
      <c r="M14" s="44" t="s">
        <v>342</v>
      </c>
      <c r="N14" s="44" t="s">
        <v>316</v>
      </c>
      <c r="O14" s="44" t="s">
        <v>294</v>
      </c>
      <c r="P14" s="44" t="s">
        <v>343</v>
      </c>
      <c r="Q14" s="44" t="s">
        <v>8</v>
      </c>
      <c r="R14" s="44" t="s">
        <v>346</v>
      </c>
    </row>
    <row r="15" spans="1:18" ht="33.65" customHeight="1" x14ac:dyDescent="0.35">
      <c r="A15" s="45" t="s">
        <v>253</v>
      </c>
      <c r="B15" s="45" t="s">
        <v>190</v>
      </c>
      <c r="C15" s="45" t="s">
        <v>254</v>
      </c>
      <c r="D15" s="45">
        <v>2026</v>
      </c>
      <c r="E15" s="45" t="s">
        <v>255</v>
      </c>
      <c r="F15" s="45"/>
      <c r="G15" s="45" t="s">
        <v>196</v>
      </c>
      <c r="H15" s="45" t="s">
        <v>357</v>
      </c>
      <c r="I15" s="45" t="s">
        <v>340</v>
      </c>
      <c r="J15" s="45" t="s">
        <v>318</v>
      </c>
      <c r="K15" s="45" t="s">
        <v>341</v>
      </c>
      <c r="L15" s="45" t="s">
        <v>267</v>
      </c>
      <c r="M15" s="45" t="s">
        <v>342</v>
      </c>
      <c r="N15" s="45" t="s">
        <v>319</v>
      </c>
      <c r="O15" s="45" t="s">
        <v>320</v>
      </c>
      <c r="P15" s="45" t="s">
        <v>343</v>
      </c>
      <c r="Q15" s="45" t="s">
        <v>8</v>
      </c>
      <c r="R15" s="45" t="s">
        <v>346</v>
      </c>
    </row>
    <row r="16" spans="1:18" ht="33.65" customHeight="1" x14ac:dyDescent="0.35"/>
    <row r="17" ht="33.65" customHeight="1" x14ac:dyDescent="0.35"/>
    <row r="18" ht="33.65" customHeight="1" x14ac:dyDescent="0.35"/>
    <row r="19" ht="33.65" customHeight="1" x14ac:dyDescent="0.35"/>
    <row r="20" ht="33.65" customHeight="1" x14ac:dyDescent="0.35"/>
    <row r="21" ht="33.65" customHeight="1" x14ac:dyDescent="0.35"/>
    <row r="22" ht="33.65" customHeight="1" x14ac:dyDescent="0.35"/>
    <row r="23" ht="33.65" customHeight="1" x14ac:dyDescent="0.35"/>
    <row r="24" ht="33.65" customHeight="1" x14ac:dyDescent="0.35"/>
    <row r="25" ht="33.65" customHeight="1" x14ac:dyDescent="0.35"/>
    <row r="26" ht="33.65" customHeight="1" x14ac:dyDescent="0.35"/>
    <row r="27" ht="33.65" customHeight="1" x14ac:dyDescent="0.35"/>
    <row r="28" ht="33.65" customHeight="1" x14ac:dyDescent="0.35"/>
    <row r="29" ht="33.65" customHeight="1" x14ac:dyDescent="0.35"/>
    <row r="30" ht="33.65" customHeight="1" x14ac:dyDescent="0.35"/>
    <row r="31" ht="33.65" customHeight="1" x14ac:dyDescent="0.35"/>
    <row r="32" ht="33.65" customHeight="1" x14ac:dyDescent="0.35"/>
  </sheetData>
  <mergeCells count="2">
    <mergeCell ref="A2:R2"/>
    <mergeCell ref="A1:R1"/>
  </mergeCells>
  <dataValidations count="3">
    <dataValidation type="list" allowBlank="1" sqref="O4:O300" xr:uid="{00000000-0002-0000-0600-000000000000}">
      <formula1>"Alto,Medio,Bajo"</formula1>
    </dataValidation>
    <dataValidation type="list" allowBlank="1" sqref="P4:P300" xr:uid="{00000000-0002-0000-0600-000001000000}">
      <formula1>"Alta calidad,Media calidad,Baja calidad"</formula1>
    </dataValidation>
    <dataValidation type="list" allowBlank="1" sqref="Q4:Q300" xr:uid="{00000000-0002-0000-0600-000002000000}">
      <formula1>"Incluir,Reserva"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3"/>
  <sheetViews>
    <sheetView workbookViewId="0">
      <selection activeCell="C114" sqref="C114"/>
    </sheetView>
  </sheetViews>
  <sheetFormatPr defaultColWidth="10.90625" defaultRowHeight="14.5" x14ac:dyDescent="0.35"/>
  <cols>
    <col min="1" max="1" width="13" customWidth="1"/>
    <col min="2" max="2" width="55" customWidth="1"/>
    <col min="3" max="6" width="13" customWidth="1"/>
  </cols>
  <sheetData>
    <row r="1" spans="1:6" ht="21" customHeight="1" thickBot="1" x14ac:dyDescent="0.4">
      <c r="A1" s="17" t="s">
        <v>358</v>
      </c>
      <c r="B1" s="17" t="s">
        <v>359</v>
      </c>
      <c r="C1" s="17" t="s">
        <v>360</v>
      </c>
      <c r="D1" s="17" t="s">
        <v>361</v>
      </c>
      <c r="E1" s="17" t="s">
        <v>362</v>
      </c>
      <c r="F1" s="17" t="s">
        <v>363</v>
      </c>
    </row>
    <row r="2" spans="1:6" ht="30" customHeight="1" x14ac:dyDescent="0.35">
      <c r="A2" s="18" t="s">
        <v>364</v>
      </c>
      <c r="B2" s="18" t="s">
        <v>163</v>
      </c>
      <c r="C2" s="18" t="s">
        <v>284</v>
      </c>
      <c r="D2" s="18" t="s">
        <v>365</v>
      </c>
      <c r="E2" s="18" t="s">
        <v>366</v>
      </c>
      <c r="F2" s="18" t="s">
        <v>367</v>
      </c>
    </row>
    <row r="3" spans="1:6" ht="20.399999999999999" customHeight="1" x14ac:dyDescent="0.35">
      <c r="A3" s="18" t="s">
        <v>368</v>
      </c>
      <c r="B3" s="18" t="s">
        <v>191</v>
      </c>
      <c r="C3" s="18" t="s">
        <v>299</v>
      </c>
      <c r="D3" s="18" t="s">
        <v>365</v>
      </c>
      <c r="E3" s="18" t="s">
        <v>366</v>
      </c>
      <c r="F3" s="18" t="s">
        <v>367</v>
      </c>
    </row>
    <row r="4" spans="1:6" ht="20.399999999999999" customHeight="1" x14ac:dyDescent="0.35">
      <c r="A4" s="18" t="s">
        <v>369</v>
      </c>
      <c r="B4" s="18" t="s">
        <v>200</v>
      </c>
      <c r="C4" s="18" t="s">
        <v>302</v>
      </c>
      <c r="D4" s="18" t="s">
        <v>365</v>
      </c>
      <c r="E4" s="18" t="s">
        <v>370</v>
      </c>
      <c r="F4" s="18" t="s">
        <v>367</v>
      </c>
    </row>
    <row r="5" spans="1:6" ht="21" customHeight="1" thickBot="1" x14ac:dyDescent="0.4">
      <c r="A5" s="18" t="s">
        <v>371</v>
      </c>
      <c r="B5" s="18" t="s">
        <v>207</v>
      </c>
      <c r="C5" s="18" t="s">
        <v>267</v>
      </c>
      <c r="D5" s="18" t="s">
        <v>365</v>
      </c>
      <c r="E5" s="18" t="s">
        <v>370</v>
      </c>
      <c r="F5" s="18" t="s">
        <v>367</v>
      </c>
    </row>
    <row r="6" spans="1:6" ht="51" customHeight="1" x14ac:dyDescent="0.35">
      <c r="A6" s="18" t="s">
        <v>372</v>
      </c>
      <c r="B6" s="18" t="s">
        <v>214</v>
      </c>
      <c r="C6" s="18" t="s">
        <v>267</v>
      </c>
      <c r="D6" s="18" t="s">
        <v>365</v>
      </c>
      <c r="E6" s="18" t="s">
        <v>370</v>
      </c>
      <c r="F6" s="18" t="s">
        <v>367</v>
      </c>
    </row>
    <row r="7" spans="1:6" ht="30.65" customHeight="1" x14ac:dyDescent="0.35"/>
    <row r="8" spans="1:6" ht="30.65" customHeight="1" x14ac:dyDescent="0.35"/>
    <row r="9" spans="1:6" ht="20.399999999999999" customHeight="1" x14ac:dyDescent="0.35"/>
    <row r="10" spans="1:6" ht="15" customHeight="1" thickBot="1" x14ac:dyDescent="0.4"/>
    <row r="11" spans="1:6" ht="30.65" customHeight="1" x14ac:dyDescent="0.35"/>
    <row r="12" spans="1:6" ht="30.65" customHeight="1" x14ac:dyDescent="0.35"/>
    <row r="13" spans="1:6" ht="20.399999999999999" customHeight="1" x14ac:dyDescent="0.35"/>
    <row r="14" spans="1:6" ht="20.399999999999999" customHeight="1" x14ac:dyDescent="0.35"/>
    <row r="15" spans="1:6" ht="40.75" customHeight="1" x14ac:dyDescent="0.35"/>
    <row r="16" spans="1:6" ht="40.75" customHeight="1" x14ac:dyDescent="0.35"/>
    <row r="17" ht="21" customHeight="1" thickBot="1" x14ac:dyDescent="0.4"/>
    <row r="18" ht="30.65" customHeight="1" x14ac:dyDescent="0.35"/>
    <row r="19" ht="20.399999999999999" customHeight="1" x14ac:dyDescent="0.35"/>
    <row r="20" ht="40.75" customHeight="1" x14ac:dyDescent="0.35"/>
    <row r="21" ht="30.65" customHeight="1" x14ac:dyDescent="0.35"/>
    <row r="22" ht="20.399999999999999" customHeight="1" x14ac:dyDescent="0.35"/>
    <row r="23" ht="21" customHeight="1" thickBot="1" x14ac:dyDescent="0.4"/>
    <row r="24" ht="30.65" customHeight="1" x14ac:dyDescent="0.35"/>
    <row r="25" ht="71.400000000000006" customHeight="1" x14ac:dyDescent="0.35"/>
    <row r="26" ht="30.65" customHeight="1" x14ac:dyDescent="0.35"/>
    <row r="27" ht="30.65" customHeight="1" x14ac:dyDescent="0.35"/>
    <row r="28" ht="31.25" customHeight="1" thickBot="1" x14ac:dyDescent="0.4"/>
    <row r="29" ht="20.399999999999999" customHeight="1" x14ac:dyDescent="0.35"/>
    <row r="30" ht="30.65" customHeight="1" x14ac:dyDescent="0.35"/>
    <row r="31" ht="20.399999999999999" customHeight="1" x14ac:dyDescent="0.35"/>
    <row r="32" ht="40.75" customHeight="1" x14ac:dyDescent="0.35"/>
    <row r="33" ht="20.399999999999999" customHeight="1" x14ac:dyDescent="0.35"/>
    <row r="34" ht="31.25" customHeight="1" thickBot="1" x14ac:dyDescent="0.4"/>
    <row r="35" ht="40.75" customHeight="1" x14ac:dyDescent="0.35"/>
    <row r="36" ht="40.75" customHeight="1" x14ac:dyDescent="0.35"/>
    <row r="37" ht="40.75" customHeight="1" x14ac:dyDescent="0.35"/>
    <row r="38" ht="30.65" customHeight="1" x14ac:dyDescent="0.35"/>
    <row r="39" ht="30.65" customHeight="1" x14ac:dyDescent="0.35"/>
    <row r="40" ht="30.65" customHeight="1" x14ac:dyDescent="0.35"/>
    <row r="41" ht="31.25" customHeight="1" thickBot="1" x14ac:dyDescent="0.4"/>
    <row r="42" ht="30.65" customHeight="1" x14ac:dyDescent="0.35"/>
    <row r="43" ht="40.75" customHeight="1" x14ac:dyDescent="0.35"/>
    <row r="44" ht="20.399999999999999" customHeight="1" x14ac:dyDescent="0.35"/>
    <row r="45" ht="31.25" customHeight="1" thickBot="1" x14ac:dyDescent="0.4"/>
    <row r="49" ht="28.75" customHeight="1" x14ac:dyDescent="0.35"/>
    <row r="50" ht="225.65" customHeight="1" x14ac:dyDescent="0.35"/>
    <row r="51" ht="409.6" customHeight="1" x14ac:dyDescent="0.35"/>
    <row r="52" ht="28.75" customHeight="1" x14ac:dyDescent="0.35"/>
    <row r="53" ht="409.6" customHeight="1" x14ac:dyDescent="0.35"/>
  </sheetData>
  <autoFilter ref="A1:F6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workbookViewId="0">
      <selection activeCell="F10" sqref="F10"/>
    </sheetView>
  </sheetViews>
  <sheetFormatPr defaultColWidth="8.90625" defaultRowHeight="14.5" x14ac:dyDescent="0.35"/>
  <cols>
    <col min="1" max="1" width="42" customWidth="1"/>
    <col min="2" max="2" width="14" customWidth="1"/>
    <col min="3" max="3" width="42" customWidth="1"/>
    <col min="4" max="4" width="12" customWidth="1"/>
    <col min="5" max="5" width="18" customWidth="1"/>
    <col min="6" max="6" width="14" customWidth="1"/>
    <col min="7" max="7" width="12" customWidth="1"/>
    <col min="8" max="9" width="13" customWidth="1"/>
    <col min="10" max="10" width="23.36328125" customWidth="1"/>
  </cols>
  <sheetData>
    <row r="1" spans="1:10" ht="17.5" customHeight="1" x14ac:dyDescent="0.35">
      <c r="A1" s="29" t="s">
        <v>0</v>
      </c>
      <c r="B1" s="25"/>
      <c r="C1" s="25"/>
      <c r="D1" s="25"/>
      <c r="E1" s="25"/>
      <c r="F1" s="25"/>
      <c r="G1" s="25"/>
      <c r="H1" s="25"/>
    </row>
    <row r="2" spans="1:10" ht="58" x14ac:dyDescent="0.35">
      <c r="A2" s="18" t="s">
        <v>1</v>
      </c>
    </row>
    <row r="3" spans="1:10" x14ac:dyDescent="0.35">
      <c r="A3" s="16" t="s">
        <v>2</v>
      </c>
      <c r="B3" s="16" t="s">
        <v>3</v>
      </c>
      <c r="C3" s="16" t="s">
        <v>4</v>
      </c>
      <c r="D3" s="1"/>
      <c r="E3" s="16" t="s">
        <v>5</v>
      </c>
      <c r="F3" s="16" t="s">
        <v>6</v>
      </c>
      <c r="G3" s="16" t="s">
        <v>7</v>
      </c>
      <c r="H3" s="16" t="s">
        <v>8</v>
      </c>
      <c r="J3" s="19" t="s">
        <v>9</v>
      </c>
    </row>
    <row r="4" spans="1:10" x14ac:dyDescent="0.35">
      <c r="A4" s="2" t="s">
        <v>10</v>
      </c>
      <c r="B4" s="3">
        <f>COUNTA(Base_consolidada!A:A)-3</f>
        <v>12</v>
      </c>
      <c r="C4" s="2" t="s">
        <v>11</v>
      </c>
      <c r="D4" s="4"/>
      <c r="E4" s="20" t="s">
        <v>12</v>
      </c>
      <c r="F4" s="20">
        <f>COUNTIF(Articulos_finales!B:B,"Scopus")</f>
        <v>0</v>
      </c>
      <c r="G4" s="20">
        <f>COUNTIFS(Articulos_finales!B:B,"Scopus",Articulos_finales!Q:Q,"Incluir")</f>
        <v>0</v>
      </c>
      <c r="H4" s="20">
        <f>COUNTIFS(Articulos_finales!B:B,"Scopus",Articulos_finales!Q:Q,"Reserva")</f>
        <v>0</v>
      </c>
      <c r="J4" s="21">
        <f>B5+B6</f>
        <v>1</v>
      </c>
    </row>
    <row r="5" spans="1:10" x14ac:dyDescent="0.35">
      <c r="A5" s="5" t="s">
        <v>13</v>
      </c>
      <c r="B5" s="6">
        <f>COUNTIF(Duplicados_y_exclusion!G:G,"Sí")</f>
        <v>0</v>
      </c>
      <c r="C5" s="5" t="s">
        <v>14</v>
      </c>
      <c r="D5" s="4"/>
      <c r="E5" s="22" t="s">
        <v>15</v>
      </c>
      <c r="F5" s="22">
        <f>COUNTIF(Articulos_finales!B:B,"IEEE Xplore")</f>
        <v>3</v>
      </c>
      <c r="G5" s="22">
        <f>COUNTIFS(Articulos_finales!B:B,"IEEE Xplore",Articulos_finales!Q:Q,"Incluir")</f>
        <v>1</v>
      </c>
      <c r="H5" s="22">
        <f>COUNTIFS(Articulos_finales!B:B,"IEEE Xplore",Articulos_finales!Q:Q,"Reserva")</f>
        <v>2</v>
      </c>
    </row>
    <row r="6" spans="1:10" ht="27.65" customHeight="1" x14ac:dyDescent="0.35">
      <c r="A6" s="2" t="s">
        <v>16</v>
      </c>
      <c r="B6" s="3">
        <f>COUNTIF(Duplicados_y_exclusion!E:E,"Revisión")</f>
        <v>1</v>
      </c>
      <c r="C6" s="2" t="s">
        <v>17</v>
      </c>
      <c r="D6" s="4"/>
      <c r="E6" s="20" t="s">
        <v>18</v>
      </c>
      <c r="F6" s="20">
        <f>COUNTIF(Articulos_finales!B:B,"Web of Science")</f>
        <v>0</v>
      </c>
      <c r="G6" s="20">
        <f>COUNTIFS(Articulos_finales!B:B,"Web of Science",Articulos_finales!Q:Q,"Incluir")</f>
        <v>0</v>
      </c>
      <c r="H6" s="20">
        <f>COUNTIFS(Articulos_finales!B:B,"Web of Science",Articulos_finales!Q:Q,"Reserva")</f>
        <v>0</v>
      </c>
    </row>
    <row r="7" spans="1:10" ht="27.65" customHeight="1" x14ac:dyDescent="0.35">
      <c r="A7" s="5" t="s">
        <v>19</v>
      </c>
      <c r="B7" s="6">
        <f>COUNTIF(Articulos_finales!Q:Q,"Incluir")</f>
        <v>5</v>
      </c>
      <c r="C7" s="5" t="s">
        <v>20</v>
      </c>
      <c r="D7" s="4"/>
      <c r="E7" s="22" t="s">
        <v>21</v>
      </c>
      <c r="F7" s="22">
        <f>COUNTIF(Articulos_finales!B:B,"Springer")</f>
        <v>0</v>
      </c>
      <c r="G7" s="22">
        <f>COUNTIFS(Articulos_finales!B:B,"Springer",Articulos_finales!Q:Q,"Incluir")</f>
        <v>0</v>
      </c>
      <c r="H7" s="22">
        <f>COUNTIFS(Articulos_finales!B:B,"Springer",Articulos_finales!Q:Q,"Reserva")</f>
        <v>0</v>
      </c>
    </row>
    <row r="8" spans="1:10" x14ac:dyDescent="0.35">
      <c r="A8" s="2" t="s">
        <v>22</v>
      </c>
      <c r="B8" s="3">
        <f>COUNTIF(Articulos_finales!Q:Q,"Reserva")</f>
        <v>7</v>
      </c>
      <c r="C8" s="2" t="s">
        <v>23</v>
      </c>
      <c r="D8" s="4"/>
      <c r="E8" s="23" t="s">
        <v>24</v>
      </c>
      <c r="F8" s="23">
        <f>COUNTIF(Articulos_finales!B:B,"Science Direct")</f>
        <v>0</v>
      </c>
      <c r="G8" s="23">
        <f>COUNTIFS(Articulos_finales!B:B,"Science Direct",Articulos_finales!Q:Q,"Incluir")</f>
        <v>0</v>
      </c>
      <c r="H8" s="23">
        <f>COUNTIFS(Articulos_finales!B:B,"Science Direct",Articulos_finales!Q:Q,"Reserva")</f>
        <v>0</v>
      </c>
    </row>
    <row r="9" spans="1:10" x14ac:dyDescent="0.35">
      <c r="A9" s="5" t="s">
        <v>25</v>
      </c>
      <c r="B9" s="6">
        <f>COUNTIF(Calidad_articulos!O:O,"Alta calidad")</f>
        <v>12</v>
      </c>
      <c r="C9" s="5" t="s">
        <v>26</v>
      </c>
      <c r="D9" s="4"/>
      <c r="E9" s="4"/>
      <c r="F9" s="4"/>
      <c r="G9" s="4"/>
      <c r="H9" s="4"/>
    </row>
    <row r="10" spans="1:10" ht="91" x14ac:dyDescent="0.35">
      <c r="A10" s="2" t="s">
        <v>27</v>
      </c>
      <c r="B10" s="3" t="s">
        <v>28</v>
      </c>
      <c r="C10" s="2" t="s">
        <v>29</v>
      </c>
      <c r="D10" s="4"/>
      <c r="E10" s="4"/>
      <c r="F10" s="4"/>
      <c r="G10" s="4"/>
      <c r="H10" s="4"/>
    </row>
    <row r="11" spans="1:10" x14ac:dyDescent="0.35">
      <c r="A11" s="4"/>
      <c r="B11" s="4"/>
      <c r="C11" s="4"/>
      <c r="D11" s="4"/>
      <c r="E11" s="4"/>
      <c r="F11" s="4"/>
      <c r="G11" s="4"/>
      <c r="H11" s="4"/>
    </row>
    <row r="12" spans="1:10" x14ac:dyDescent="0.35">
      <c r="A12" s="27" t="s">
        <v>30</v>
      </c>
      <c r="B12" s="26"/>
      <c r="C12" s="4"/>
      <c r="D12" s="4"/>
      <c r="E12" s="4"/>
      <c r="F12" s="4"/>
      <c r="G12" s="4"/>
      <c r="H12" s="4"/>
    </row>
    <row r="13" spans="1:10" ht="48" customHeight="1" x14ac:dyDescent="0.35">
      <c r="A13" s="28" t="s">
        <v>31</v>
      </c>
      <c r="B13" s="25"/>
      <c r="C13" s="25"/>
      <c r="D13" s="25"/>
      <c r="E13" s="25"/>
      <c r="F13" s="25"/>
      <c r="G13" s="25"/>
      <c r="H13" s="25"/>
    </row>
    <row r="14" spans="1:10" ht="8" customHeight="1" x14ac:dyDescent="0.35">
      <c r="A14" s="26"/>
      <c r="B14" s="26"/>
      <c r="C14" s="26"/>
      <c r="D14" s="26"/>
      <c r="E14" s="26"/>
      <c r="F14" s="26"/>
      <c r="G14" s="26"/>
      <c r="H14" s="26"/>
    </row>
    <row r="15" spans="1:10" x14ac:dyDescent="0.35">
      <c r="A15" s="27" t="s">
        <v>32</v>
      </c>
      <c r="B15" s="26"/>
      <c r="C15" s="4"/>
      <c r="D15" s="4"/>
      <c r="E15" s="4"/>
      <c r="F15" s="4"/>
      <c r="G15" s="4"/>
      <c r="H15" s="4"/>
    </row>
    <row r="16" spans="1:10" ht="48" customHeight="1" x14ac:dyDescent="0.35">
      <c r="A16" s="28" t="s">
        <v>33</v>
      </c>
      <c r="B16" s="25"/>
      <c r="C16" s="25"/>
      <c r="D16" s="25"/>
      <c r="E16" s="25"/>
      <c r="F16" s="25"/>
      <c r="G16" s="25"/>
      <c r="H16" s="25"/>
    </row>
    <row r="17" spans="1:8" ht="8" customHeight="1" x14ac:dyDescent="0.35">
      <c r="A17" s="26"/>
      <c r="B17" s="26"/>
      <c r="C17" s="26"/>
      <c r="D17" s="26"/>
      <c r="E17" s="26"/>
      <c r="F17" s="26"/>
      <c r="G17" s="26"/>
      <c r="H17" s="26"/>
    </row>
    <row r="18" spans="1:8" x14ac:dyDescent="0.35">
      <c r="A18" s="27" t="s">
        <v>34</v>
      </c>
      <c r="B18" s="26"/>
      <c r="C18" s="4"/>
      <c r="D18" s="4"/>
      <c r="E18" s="4"/>
      <c r="F18" s="4"/>
      <c r="G18" s="4"/>
      <c r="H18" s="4"/>
    </row>
    <row r="19" spans="1:8" ht="48" customHeight="1" x14ac:dyDescent="0.35">
      <c r="A19" s="28" t="s">
        <v>35</v>
      </c>
      <c r="B19" s="25"/>
      <c r="C19" s="25"/>
      <c r="D19" s="25"/>
      <c r="E19" s="25"/>
      <c r="F19" s="25"/>
      <c r="G19" s="25"/>
      <c r="H19" s="25"/>
    </row>
    <row r="20" spans="1:8" ht="8" customHeight="1" x14ac:dyDescent="0.35">
      <c r="A20" s="26"/>
      <c r="B20" s="26"/>
      <c r="C20" s="26"/>
      <c r="D20" s="26"/>
      <c r="E20" s="26"/>
      <c r="F20" s="26"/>
      <c r="G20" s="26"/>
      <c r="H20" s="26"/>
    </row>
    <row r="21" spans="1:8" x14ac:dyDescent="0.35">
      <c r="A21" s="27" t="s">
        <v>36</v>
      </c>
      <c r="B21" s="26"/>
      <c r="C21" s="4"/>
      <c r="D21" s="4"/>
      <c r="E21" s="4"/>
      <c r="F21" s="4"/>
      <c r="G21" s="4"/>
      <c r="H21" s="4"/>
    </row>
    <row r="22" spans="1:8" ht="48" customHeight="1" x14ac:dyDescent="0.35">
      <c r="A22" s="24" t="s">
        <v>37</v>
      </c>
      <c r="B22" s="25"/>
      <c r="C22" s="25"/>
      <c r="D22" s="25"/>
      <c r="E22" s="25"/>
      <c r="F22" s="25"/>
      <c r="G22" s="25"/>
      <c r="H22" s="25"/>
    </row>
    <row r="23" spans="1:8" ht="8" customHeight="1" x14ac:dyDescent="0.35">
      <c r="A23" s="26"/>
      <c r="B23" s="26"/>
      <c r="C23" s="26"/>
      <c r="D23" s="26"/>
      <c r="E23" s="26"/>
      <c r="F23" s="26"/>
      <c r="G23" s="26"/>
      <c r="H23" s="26"/>
    </row>
    <row r="24" spans="1:8" x14ac:dyDescent="0.35">
      <c r="A24" s="27" t="s">
        <v>38</v>
      </c>
      <c r="B24" s="26"/>
      <c r="C24" s="4"/>
      <c r="D24" s="4"/>
      <c r="E24" s="4"/>
      <c r="F24" s="4"/>
      <c r="G24" s="4"/>
      <c r="H24" s="4"/>
    </row>
    <row r="25" spans="1:8" ht="48" customHeight="1" x14ac:dyDescent="0.35">
      <c r="A25" s="28" t="s">
        <v>39</v>
      </c>
      <c r="B25" s="25"/>
      <c r="C25" s="25"/>
      <c r="D25" s="25"/>
      <c r="E25" s="25"/>
      <c r="F25" s="25"/>
      <c r="G25" s="25"/>
      <c r="H25" s="25"/>
    </row>
    <row r="26" spans="1:8" ht="8" customHeight="1" x14ac:dyDescent="0.35">
      <c r="A26" s="26"/>
      <c r="B26" s="26"/>
      <c r="C26" s="26"/>
      <c r="D26" s="26"/>
      <c r="E26" s="26"/>
      <c r="F26" s="26"/>
      <c r="G26" s="26"/>
      <c r="H26" s="26"/>
    </row>
  </sheetData>
  <mergeCells count="11">
    <mergeCell ref="A1:H1"/>
    <mergeCell ref="A18:B18"/>
    <mergeCell ref="A12:B12"/>
    <mergeCell ref="A22:H23"/>
    <mergeCell ref="A24:B24"/>
    <mergeCell ref="A25:H26"/>
    <mergeCell ref="A13:H14"/>
    <mergeCell ref="A15:B15"/>
    <mergeCell ref="A21:B21"/>
    <mergeCell ref="A16:H17"/>
    <mergeCell ref="A19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Protocolo</vt:lpstr>
      <vt:lpstr>Cadenas_de_busqueda</vt:lpstr>
      <vt:lpstr>Base_consolidada</vt:lpstr>
      <vt:lpstr>Duplicados_y_exclusion</vt:lpstr>
      <vt:lpstr>Tamizaje_Tit_Abs_Keys</vt:lpstr>
      <vt:lpstr>Calidad_articulos</vt:lpstr>
      <vt:lpstr>Articulos_finales</vt:lpstr>
      <vt:lpstr>Articulos_finales_ok</vt:lpstr>
      <vt:lpstr>Resumen_ejecutivo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Pilaguano</cp:lastModifiedBy>
  <dcterms:created xsi:type="dcterms:W3CDTF">2026-09-16T15:40:04Z</dcterms:created>
  <dcterms:modified xsi:type="dcterms:W3CDTF">2026-10-16T19:37:20Z</dcterms:modified>
</cp:coreProperties>
</file>